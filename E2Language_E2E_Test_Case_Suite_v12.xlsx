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ad Me" sheetId="1" r:id="rId4"/>
    <sheet state="visible" name="Credentials &amp; Test Data" sheetId="2" r:id="rId5"/>
    <sheet state="visible" name="Dashboard &amp; Environment URLs" sheetId="3" r:id="rId6"/>
    <sheet state="hidden" name="Coverage Assessment" sheetId="4" r:id="rId7"/>
    <sheet state="hidden" name="Dashboard" sheetId="5" r:id="rId8"/>
    <sheet state="visible" name="Admin" sheetId="6" r:id="rId9"/>
    <sheet state="visible" name="Teacher" sheetId="7" r:id="rId10"/>
    <sheet state="visible" name="Student" sheetId="8" r:id="rId11"/>
    <sheet state="visible" name="Mobile" sheetId="9" r:id="rId12"/>
    <sheet state="visible" name="Test Account Provisioning" sheetId="10" r:id="rId13"/>
  </sheets>
  <definedNames>
    <definedName hidden="1" localSheetId="5" name="_xlnm._FilterDatabase">Admin!$A$1:$O$45</definedName>
    <definedName hidden="1" localSheetId="6" name="_xlnm._FilterDatabase">Teacher!$A$1:$O$34</definedName>
    <definedName hidden="1" localSheetId="7" name="_xlnm._FilterDatabase">Student!$A$1:$Q$81</definedName>
    <definedName hidden="1" localSheetId="8" name="_xlnm._FilterDatabase">Mobile!$A$1:$O$17</definedName>
    <definedName hidden="1" localSheetId="9" name="_xlnm._FilterDatabase">'Test Account Provisioning'!$A$4:$H$17</definedName>
  </definedNames>
  <calcPr/>
  <extLst>
    <ext uri="GoogleSheetsCustomDataVersion2">
      <go:sheetsCustomData xmlns:go="http://customooxmlschemas.google.com/" r:id="rId14" roundtripDataChecksum="384/XTuZDLi5hmOkCNbwSswGYsK5+do6MEQw436rUng="/>
    </ext>
  </extLst>
</workbook>
</file>

<file path=xl/sharedStrings.xml><?xml version="1.0" encoding="utf-8"?>
<sst xmlns="http://schemas.openxmlformats.org/spreadsheetml/2006/main" count="3221" uniqueCount="1808">
  <si>
    <t>Test Accounts</t>
  </si>
  <si>
    <t>E2 Language — E2E Test Case Suite (Admin / Teacher / Student / Mobile)</t>
  </si>
  <si>
    <t>What</t>
  </si>
  <si>
    <t>URL / Host</t>
  </si>
  <si>
    <t>Notes</t>
  </si>
  <si>
    <t>Is this test suite's coverage full?</t>
  </si>
  <si>
    <t>Prepared as a Senior QA Engineer deliverable. September 2026. v7.</t>
  </si>
  <si>
    <t>Admin + Teacher app (staging host, confirmed live)</t>
  </si>
  <si>
    <t>https://azdopl-rc-adminapp.e2language.com</t>
  </si>
  <si>
    <t>Shared Azure AD B2C-authenticated host. Landing page after login depends on the account's role scope.</t>
  </si>
  <si>
    <t>Account</t>
  </si>
  <si>
    <t>Username / Value</t>
  </si>
  <si>
    <t>Password</t>
  </si>
  <si>
    <t>Shared login entry point (confirmed live)</t>
  </si>
  <si>
    <t>https://azdopl-rc-adminapp.e2language.com/Account/Login</t>
  </si>
  <si>
    <t>Redirects into Azure AD B2C. Confirmed: switching roles in the same browser session without first using Logout re-lands on the ORIGINAL role's page rather than prompting fresh credentials (SSO-scope behavior, reproduced live this session).</t>
  </si>
  <si>
    <t>Scope: 173 test cases across 4 tabs — Admin (44), Teacher (33), Student (80), Mobile/Student (16). See the Coverage Assessment tab for an honest answer to 'is this full coverage' - short version: NO, not full - it is the fullest coverage achievable from verified sources, with every remaining gap listed explicitly rather than silently omitted.</t>
  </si>
  <si>
    <t>Teacher (confirmed, used live this session)</t>
  </si>
  <si>
    <t>nacedos274@slotbeer.com</t>
  </si>
  <si>
    <t>Temp@1234</t>
  </si>
  <si>
    <t>Display name 'Bob Teacher', Master Tutor level. Verified live: authenticates at the shared Azure AD B2C login and lands on https://azdopl-rc-adminapp.e2language.com/Teacher/Home.</t>
  </si>
  <si>
    <t>Shared logout (confirmed live)</t>
  </si>
  <si>
    <t>https://azdopl-rc-adminapp.e2language.com/Account/SingleLogout</t>
  </si>
  <si>
    <t>Ends the Azure AD B2C session for whichever role was authenticated.</t>
  </si>
  <si>
    <t>Admin (Super Administrator) — CONFIRMED LIVE this session</t>
  </si>
  <si>
    <t>Teacher dashboard (confirmed live)</t>
  </si>
  <si>
    <t>apadmin@mailinator.com</t>
  </si>
  <si>
    <t>https://azdopl-rc-adminapp.e2language.com/Teacher/Home</t>
  </si>
  <si>
    <t>RzyE3Bti2ZHGqJjU</t>
  </si>
  <si>
    <t>Verified by direct navigation this session while authenticated as nacedos274@slotbeer.com.</t>
  </si>
  <si>
    <t>v7 additions (this pass): a new Test Case Title column (every case now has a short, plain-English title - previously Module was the only category label, with no per-case title at all); every Expected Result across all 4 tabs was rewritten into 1-3 short, plain sentences with no jargon or 'CONFIRMED LIVE'/'PLACEHOLDER' meta-commentary (the fuller live-verification narrative these replaced remains on record in the project's findings docs); and 2 new Student cases closing a real coverage gap - signing up for a new account with a Google account (TC-STU-079) and with a Facebook account (TC-STU-080), matching the same social sign-up flow already covered on the Mobile tab.</t>
  </si>
  <si>
    <t>User-supplied working credential for the staging environment, verified live: authenticates at the shared Azure AD B2C login and lands on https://azdopl-rc-adminapp.e2language.com/Administrator/Home. Header shows role badge 'SUPER ADMINISTRATOR' and username 'apadmin'. This closes the single biggest gap previously blocking the Admin tab.</t>
  </si>
  <si>
    <t>Admin dashboard exact route — CONFIRMED LIVE this session</t>
  </si>
  <si>
    <t>https://azdopl-rc-adminapp.e2language.com/Administrator/Home</t>
  </si>
  <si>
    <t>Student (reference account, seen from Teacher-side only)</t>
  </si>
  <si>
    <t>Corrects the earlier-assumed /Admin/Home (confirmed 404 - Home/PageNotFound). Verified live by logging in as apadmin@mailinator.com (Super Administrator). PRODUCT FINDING: the dashboard's main content area currently renders only the literal placeholder text 'Admin dashboard goes here!' - no charts/metrics/widgets exist yet; see TC-ADM-005.</t>
  </si>
  <si>
    <t>kadaj29422@prorises.com</t>
  </si>
  <si>
    <t>P@ssw0rd</t>
  </si>
  <si>
    <t>Package 'PTE Core Silver', display name 'BOB Stage'. Seen via Teacher &gt; Student &gt; Search; no password was ever captured for this account. Either obtain it from the environment owner or create a fresh student via the Registration test cases in this suite (Student tab).</t>
  </si>
  <si>
    <t>v3 additions (earlier pass): Status column (Not Executed / Passed / Failed / Blocked, dropdown, defaults to Not Executed since nothing has been run yet), Execution Type column (Automation / Manual - classification per case: Manual is reserved for real Google/Facebook/social-OAuth logins and the Spotify podcast embed, matching the same standard already used in E2_Language_Regression_Test_Cases_v2.xlsx; everything else is Automation, including cases that still need environment setup first), a Dashboard tab with charts, a Coverage Assessment tab, Account &amp; Security flows (Forgot/Reset Password, Change Password, Profile Settings) for all 3 roles, Content Tool SSO/ROPC login cases restored for Student (desktop + mobile), 14 other student learning modules restored (AI Practice Activity, Live Class join, Recorded Class, Podcast, Score Calculator, Study Pathway, Sample Practice Activity, Video Tooltips, Cross-Platform/WooCommerce integration), and a new Mobile tab (16 cases) mirroring the Student tab's core flows plus the mobile-specific Content Tool cases from the original suite.</t>
  </si>
  <si>
    <t>Admin left-nav structure — CONFIRMED LIVE this session</t>
  </si>
  <si>
    <t>18 top-level items in this order: Dashboard, People, Partners, Live Class, Video Collections, Scheduler, Analysis, AI Result, Currency Rate, Marketing Tools, Campus, Announcements, Study Pathway Rules, Utility, Banner, Group Class, Invoice, Embedded Pricing.</t>
  </si>
  <si>
    <t>Corrects the earlier-assumed 5-section nav (People/Partners/Marketing Tools/Analysis/Utility only) and the earlier assumption that AI Result nests under Analysis - it is its own top-level item. Sub-items confirmed so far: People expands to Student (itself expanding to Grid/Search/Create New/CELPIP Migration), Teacher, and Administrators. All other top-level items still PLACEHOLDER for sub-structure.</t>
  </si>
  <si>
    <t>QA throwaway Admin account naming convention</t>
  </si>
  <si>
    <t>ims.test.admin.YYMMDD.NN@mailinator.com</t>
  </si>
  <si>
    <t>N/A</t>
  </si>
  <si>
    <t>Observed convention in Admin &gt; People &gt; Administrators (e.g. ims.test.admin.260828.02@mailinator.com). Use this pattern for any new automation-created admin accounts so they stay identifiable.</t>
  </si>
  <si>
    <t>Admin nav is a client-side SPA — CONFIRMED LIVE this session</t>
  </si>
  <si>
    <t>All left-nav links render as href="#" and clicking them re-renders the main panel without changing the browser URL (it stays at /Administrator/Home#). There is NO distinct URL per Admin sub-page to capture - 'exact URL' for any Admin sub-screen should be read as 'reached via in-app navigation' rather than a literal deep-linkable path, unless stated otherwise.</t>
  </si>
  <si>
    <t>SOURCE OF TRUTH: every fact traces to (1) live browser verification performed for this deliverable, (2) the e2-admin-panel-findings.md / e2-teacher-panel-findings.md project docs, (3) the e2-engineering-wiki-findings.md project doc, or (4) the original 223-case TestPlanIt export / the delivered E2_Language_Regression_Test_Cases_v2.xlsx (269 cases) — cited by ID where reused. Nothing is invented; unconfirmed values are PLACEHOLDER/N/A with a note on how to resolve them.</t>
  </si>
  <si>
    <t>Payment / Voucher / Partner / Taxonomy Test Data</t>
  </si>
  <si>
    <t>Azure AD B2C technical detail — CONFIRMED LIVE this session</t>
  </si>
  <si>
    <t>Tenant e2testprepdev2.onmicrosoft.com; custom policy b2c_1a_signup_signin; authorize endpoint https://auth-rcv2.e2language.com/e2testprepdev2.onmicrosoft.com/b2c_1a_signup_signin/oauth2/v2.0/authorize; client_id 5c544de9-ead8-41c9-a98c-70701196fbfc; redirect_uri https://azdopl-rc-adminapp.e2language.com</t>
  </si>
  <si>
    <t>Captured from the live OAuth redirect during login. The single sign-in flow requests three scopes together (.../admin:all, .../superadmin:all, .../teacher:all), confirming Admin, Super Admin, and Teacher share one app registration; the landing page is decided by the authenticated account's actual role assignment, not by which scope was requested.</t>
  </si>
  <si>
    <t>Category</t>
  </si>
  <si>
    <t>Value(s)</t>
  </si>
  <si>
    <t>Password reset entry point — CONFIRMED LIVE this session</t>
  </si>
  <si>
    <t>'Did you forget your password? Click here' link on the shared login page</t>
  </si>
  <si>
    <t>SHEETS: Credentials &amp; Test Data — accounts, payment cards, vouchers, partner codes, taxonomy. Dashboard &amp; Environment URLs — confirmed hosts/paths and PLACEHOLDERs. Dashboard — charts and counts across all 4 role tabs. Coverage Assessment — what's covered, partial, and out of scope, with a direct answer on completeness. Admin / Teacher / Student / Mobile — the test cases, 14-column schema: Test Case ID, Test Case Title, Role, Module, Priority, Preconditions, Test Data, URL, Steps, Expected Result, Postcondition, Type (Smoke/Regression), Execution Type (Automation/Manual), Status.</t>
  </si>
  <si>
    <t>The real branded login page (styled 'E2 Test Prep', tagline 'Where will you take you?') has Email Address, Password, this reset link, a 'Keep me signed in' checkbox, and a Login button. Resolves the previously-PLACEHOLDER exact link text referenced in the Account &amp; Security test cases (TC-ADM-028, TC-TCH-029, TC-STU equivalents) - the destination screen beyond this link is still not captured live.</t>
  </si>
  <si>
    <t>Card number</t>
  </si>
  <si>
    <t>1</t>
  </si>
  <si>
    <t>Approved. CVV 123, any future expiry. Shopify staging test gateway.</t>
  </si>
  <si>
    <t>Student app (staging host, confirmed in e2-admin-panel-findings.md)</t>
  </si>
  <si>
    <t>https://azdopl-rc-main.e2language.com</t>
  </si>
  <si>
    <t>Same shared Azure AD B2C tenant - confirmed live this session: hitting this host while Teacher-authenticated redirects back into the Teacher session rather than a fresh Student login, consistent with the SSO-scope behavior above.</t>
  </si>
  <si>
    <t>2</t>
  </si>
  <si>
    <t>Declined.</t>
  </si>
  <si>
    <t>Student dashboard exact route - CONFIRMED LIVE this pass</t>
  </si>
  <si>
    <t>WELL COVERED (verified live or via wiki/project docs, multiple cases each)</t>
  </si>
  <si>
    <t>https://azdopl-rc-main.e2language.com/Student/Home</t>
  </si>
  <si>
    <t>EXECUTION UPDATE (2026-09-08): The Student tab (80 cases) was executed live end-to-end against staging. Result: 36 Passed, 10 Failed (confirmed defects), 32 Blocked, 2 Not Executed. Full Actual Result and Remark for every case are now in the Student tab's new Actual Result / Remark columns (O, P); Test Data / URL columns were also updated with real accounts, vouchers, and confirmed URLs discovered live (see the Credentials &amp; Test Data and Dashboard &amp; Environment URLs tabs for the additions). Admin, Teacher, and Mobile tabs were not executed this pass and remain Status = Not Executed.</t>
  </si>
  <si>
    <t>Confirmed by direct login as a Student-scoped account during the 2026-09-08 execution pass (previously PLACEHOLDER).</t>
  </si>
  <si>
    <t>3</t>
  </si>
  <si>
    <t>Gateway failure (distinct from a plain decline).</t>
  </si>
  <si>
    <t>Confirmed Activity deep-link pattern (Admin &gt; Marketing Tools &gt; Activity URL)</t>
  </si>
  <si>
    <t>https://azdopl-rc-main.e2language.com/Student/MockTestTwoColumnWritingSummarize/StartPage?activityId=&lt;id&gt;</t>
  </si>
  <si>
    <t>&lt;id&gt; is instance-specific - capture the real value from the 'View Url' action at execution time.</t>
  </si>
  <si>
    <t>Voucher</t>
  </si>
  <si>
    <t>SEPT1</t>
  </si>
  <si>
    <t>$10 off any IELTS package.</t>
  </si>
  <si>
    <t>Canonical Paid Registration deep link (wiki-confirmed)</t>
  </si>
  <si>
    <t>https://azdopl-rc-registrationapp.e2language.com/Registration/SignUp?examTypeCode=PTE</t>
  </si>
  <si>
    <t>Login/Logout, all 3 roles + Mobile</t>
  </si>
  <si>
    <t>Positive, negative, logout, and SSO session-scope behavior - the scope-mismatch behavior was reproduced live this session.</t>
  </si>
  <si>
    <t>SEPT2</t>
  </si>
  <si>
    <t>$10 off OET.</t>
  </si>
  <si>
    <t>Voucher - updgrade account</t>
  </si>
  <si>
    <t>STAGE-dpCq-123
STAGE-pbcR-2222</t>
  </si>
  <si>
    <t>90 % and 50 % off voucher</t>
  </si>
  <si>
    <t>Voucher - Additional Resources-</t>
  </si>
  <si>
    <t>STAGE-TAQJ-123</t>
  </si>
  <si>
    <t>One endpoint for every product/tier via query params.</t>
  </si>
  <si>
    <t>Checkout (confirmed live)</t>
  </si>
  <si>
    <t>Registration &amp; Payment</t>
  </si>
  <si>
    <t>https://e2-staging-store.myshopify.com</t>
  </si>
  <si>
    <t>Shopify-hosted checkout reached via 'Pay with Card' on the Payment Information page.</t>
  </si>
  <si>
    <t>Canonical deep link, 9 documented entry points (5 now covered as cases: Express Checkout success/blocked, Org Voucher, Referral, Partnership site; 4 not yet cased: website pricing table, embedded promo URL, WooCommerce GRE, WooCommerce E2 English post-reg question flow — see gaps below), all 3 payment outcomes (approved/declined/gateway-failure), PayPal button presence.</t>
  </si>
  <si>
    <t>50 % off voucher</t>
  </si>
  <si>
    <t>Production hostnames (wiki/architecture doc - NOT staging, reference only)</t>
  </si>
  <si>
    <t>app.e2language.com / admin.e2language.com (desktop), m.app.e2language.com (mobile), www.e2language.com (marketing), api.e2language.com (API gateway)</t>
  </si>
  <si>
    <t>Do not use these for staging automation runs; listed for completeness only.</t>
  </si>
  <si>
    <t>GP</t>
  </si>
  <si>
    <t>IELTS discount.</t>
  </si>
  <si>
    <t>E2V2T</t>
  </si>
  <si>
    <t>$10 off TOEFL - time-boxed to 7 days post-launch; likely expired now, useful as an expired-voucher negative case.</t>
  </si>
  <si>
    <t>Partner Org code (Active)</t>
  </si>
  <si>
    <t>GP001 / IALF / BROAD / ASPIRE / NAVITAS</t>
  </si>
  <si>
    <t>Student-side URLs confirmed live during the 2026-09-08 execution pass</t>
  </si>
  <si>
    <t>Admin &gt; Partners &gt; Organization.</t>
  </si>
  <si>
    <t>Upgrade / Package Upgrade / Switch Course / Extend Package / Special Vouchers / Add-on Purchase</t>
  </si>
  <si>
    <t>The full Transaction Area from the wiki - F2P/P2P pricing, all 10 pairings of the allow/disallow matrix, all 3 Switch Course variants, all Extend Package entry points including the confirmed 'My Account = secretly Upgrade' gotcha, all 4 Special Vouchers, and the full Add-on catalog including both action-gated add-ons.</t>
  </si>
  <si>
    <t>Free registration entry point (confirmed live)</t>
  </si>
  <si>
    <t>https://azdopl-rc-registrationapp.e2language.com/Registration/Free?examTypeCode=PTE</t>
  </si>
  <si>
    <t>Partner Org code (Inactive)</t>
  </si>
  <si>
    <t>JAMESEDUCATION / EIGHTFOLD / GOOD</t>
  </si>
  <si>
    <t>Correct negative-test input for 'reject inactive partner code'.</t>
  </si>
  <si>
    <t>Public free sign-up form. Confirmed: rejects @mailinator.com and @yopmail.com email domains (see Credentials tab); a non-existent-but-syntactically-valid domain (e.g. @example.com) is accepted but leaves the account permanently stuck behind an unverifiable 'course needs verification' gate.</t>
  </si>
  <si>
    <t>Email domain - allowed</t>
  </si>
  <si>
    <t>@mailinator.com</t>
  </si>
  <si>
    <t>Confirmed NOT on the blocklist.</t>
  </si>
  <si>
    <t>Post-Free-Registration onboarding wizard (confirmed live)</t>
  </si>
  <si>
    <t>https://azdopl-rc-main.e2language.com/Registration/PostFreeRegistration</t>
  </si>
  <si>
    <t>Email domain - blocked</t>
  </si>
  <si>
    <t>@mailinator.net, @mailinator2.com</t>
  </si>
  <si>
    <t>Teacher grading workflow</t>
  </si>
  <si>
    <t>Confirmed on the Temporary Email Domain blocklist, enforced while the 'Email Domain Validation' system flag is On (confirmed On).</t>
  </si>
  <si>
    <t>Both Writing and Speaking templates, all 5 action buttons as individual cases, the confirmed Mock Test Assessment dashboard/list mismatch defect, the read-only Student Detail view broken into its 4 individual actions.</t>
  </si>
  <si>
    <t>Single-page, multi-step form (Welcome -&gt; About You -&gt; Skills -&gt; Your Future); all steps' fields exist in the same DOM, shown/hidden per step.</t>
  </si>
  <si>
    <t>Exam Type Code taxonomy (confirmed live, Teacher &gt; Assessment filter)</t>
  </si>
  <si>
    <t>ALL, PTE, PTE Core, TOEFL, OET (Nurses and Doctors), OET (Nurses), OET (Doctors), OET (Pharmacy), IELTS Academic, IELTS General, TOEIC</t>
  </si>
  <si>
    <t>This is the closest equivalent to 'Course/Subject' in this app - a fixed taxonomy, not an admin-created custom entity.</t>
  </si>
  <si>
    <t>Switch Course page (confirmed live)</t>
  </si>
  <si>
    <t>Student/ChangePackage (reached via Header menu &gt; Switch My Course)</t>
  </si>
  <si>
    <t>Shows the free-switch and paid-switch-with-fee flows; paid switches route to the same Shopify staging checkout as Upgrade.</t>
  </si>
  <si>
    <t>Admin login + Admin People/Student/Teacher setup</t>
  </si>
  <si>
    <t>CONFIRMED LIVE this session with a working Super Administrator credential (apadmin@mailinator.com) - real dashboard route (/Administrator/Home), the full 18-item top-level nav, the People &gt; Student &gt; Search/Grid/Create New/CELPIP Migration structure, the People &gt; Teacher list, the People &gt; Administrators list, and all 11 Student Detail actions (View Package Detail incl. nested Add Package, View Additional Package Detail, View Login History, View Registration History, Share and Earn, View Notes, View Survey, Student Consultation, Reset Password, Delete Student). Partners/Marketing Tools/Analysis/Utility remain as previously documented - Add Package flow, both known-defect grids (AI Result, Abandon Cart), the confirmed GST-by-IP-geolocation mechanism, feature flags, email domain blocklist, partner org codes, deep-link generators.</t>
  </si>
  <si>
    <t>Package tiers referenced across Upgrade/Package-Upgrade cases</t>
  </si>
  <si>
    <t>Free, Express, Express Extra, Bronze, Silver, Gold, Power, Showtime, All-in, Tutorial Bundle x2/x3</t>
  </si>
  <si>
    <t>Upgrade Account page (confirmed live)</t>
  </si>
  <si>
    <t>https://azdopl-rc-main.e2language.com/Registration/UpgradeAccount</t>
  </si>
  <si>
    <t>From the QA-authored 'Special packages upgrade scenario' allow/disallow matrix (wiki &gt; QA Documentation).</t>
  </si>
  <si>
    <t>Used for all Free-to-Paid, Paid-to-Paid, and the full Package Upgrade allow/disallow matrix cases. A hard-blocked tier (e.g. Gold, All-in, Tutorial Bundle) returns 'You are not allowed to continue the process' for the whole route.</t>
  </si>
  <si>
    <t>Score Calculator entry point (confirmed live)</t>
  </si>
  <si>
    <t>https://azdopl-rc-main.e2language.com/Student/ScoreCalculator</t>
  </si>
  <si>
    <t>The landing page's 'Start Test' button (#btn-start) does not respond to a normal click; navigating directly to its data-url attribute works. Leads to a System Requirement Checker, then Listening/Reading/Writing/Speaking sections - the first three work correctly; Speaking needs a real microphone.</t>
  </si>
  <si>
    <t>Student Test Accounts - created/used during the 2026-09-08 live execution pass</t>
  </si>
  <si>
    <t>Recorded Classes / Podcasts / Study Pathway (confirmed live)</t>
  </si>
  <si>
    <t>Reached from Student/Home &gt; Online Classes (Recorded Classes, Podcasts) and the Study Pathway widget on Student/Home directly</t>
  </si>
  <si>
    <t>Recorded Classes watch/unwatch toggle works correctly. Podcasts uses an embedded Spotify player that is region-restricted for this environment. Study Pathway's own practice-item links do not open anything (confirmed defect - see Student tab TC-STU-075/076).</t>
  </si>
  <si>
    <t>Admin Live Class Scheduler - BLOCKED this pass</t>
  </si>
  <si>
    <t>https://azdopl-rc-adminapp.e2language.com/LiveClass/Scheduler</t>
  </si>
  <si>
    <t>The Admin session got stuck in an unrecoverable Azure AD B2C login redirect loop when navigating here during this pass, blocking TC-STU-067/068. Worth a retry in a fresh session.</t>
  </si>
  <si>
    <t>Content Tool SSO/ROPC login</t>
  </si>
  <si>
    <t>Restored in this pass for both desktop and mobile, including the ROPC exam-type scope constraint (CELPIP/GRE/SAT only) as both a positive and a negative case.</t>
  </si>
  <si>
    <t>Student - free tier seed (later upgraded to paid mid-session)</t>
  </si>
  <si>
    <t>e2e.stu.free.260908@mailinator.com</t>
  </si>
  <si>
    <t>TestPass123!</t>
  </si>
  <si>
    <t>Started on IELTS Academic Free; used across onboarding, Upgrade, Writing practice, Recorded Classes, Score Calculator, Study Pathway, Podcast cases. Ended the session on IELTS Academic Bronze (paid) after TC-STU-027.</t>
  </si>
  <si>
    <t>Student - free tier seed #2 (later upgraded to Express via org voucher)</t>
  </si>
  <si>
    <t>e2e.stu.free2.260908@mailinator.com</t>
  </si>
  <si>
    <t>Used for the Free-to-Power upgrade check (TC-STU-043) and the Free-to-Tutorial-Bundle check (TC-STU-044). Later converted to PTE Express via the Genepool organization voucher (TC-STU-033).</t>
  </si>
  <si>
    <t>Student - paid seed, multi-tier (Switch Course / Upgrade payment cases)</t>
  </si>
  <si>
    <t>e2e.student.260907@mailinator.com</t>
  </si>
  <si>
    <t>PLACEHOLDER - not re-captured this pass</t>
  </si>
  <si>
    <t>Started as PTE Core Silver; moved through IELTS Academic Silver -&gt; PTE Core Gold -&gt; IELTS Academic Gold across the Switch Course / Upgrade payment test cases (TC-STU-013/014/015).</t>
  </si>
  <si>
    <t>Cross-role E2E chain</t>
  </si>
  <si>
    <t>Student - Express tier</t>
  </si>
  <si>
    <t>e2e.stu.express.260908@mailinator.com</t>
  </si>
  <si>
    <t>PTE Express account created for the paid-to-paid upgrade case (TC-STU-028); ended the pass upgraded to PTE Bronze.</t>
  </si>
  <si>
    <t>A full 6-leg Admin -&gt; Teacher -&gt; Student -&gt; Teacher -&gt; Student -&gt; Admin sequence with explicit hand-offs.</t>
  </si>
  <si>
    <t>Student - Gold tier</t>
  </si>
  <si>
    <t>e2e.stu.gold.260908@mailinator.com</t>
  </si>
  <si>
    <t>Account ID E2L-26090822212. Used for the Package Upgrade allow/disallow matrix (Gold -&gt; Power: blocked, TC-STU-046).</t>
  </si>
  <si>
    <t>Student - Power tier</t>
  </si>
  <si>
    <t>e2e.stu.power.260908@mailinator.com</t>
  </si>
  <si>
    <t>Account ID E2L-26090817654. Used for Power -&gt; Silver (allowed, TC-STU-047) and Power -&gt; Bronze/Showtime/All-in (blocked, TC-STU-048).</t>
  </si>
  <si>
    <t>Other student learning modules</t>
  </si>
  <si>
    <t>AI Practice Activity, Live Class join, Recorded Class, Podcast, Score Calculator, Study Pathway, Sample Practice Activity, Video Tooltips, WooCommerce cross-platform purchase - one representative case per module, citing the original suite's verified case IDs.</t>
  </si>
  <si>
    <t>Student - Showtime tier</t>
  </si>
  <si>
    <t>e2e.stu.showtime.260908@mailinator.com</t>
  </si>
  <si>
    <t>Account ID E2L-26090892965. Used for Showtime -&gt; Gold (allowed, TC-STU-049).</t>
  </si>
  <si>
    <t>Student - All-in tier</t>
  </si>
  <si>
    <t>e2e.stu.allin.260908@mailinator.com</t>
  </si>
  <si>
    <t>Account ID E2L-26090848315. Used to confirm All-in is fully locked from upgrading (TC-STU-050).</t>
  </si>
  <si>
    <t>PARTIALLY COVERED</t>
  </si>
  <si>
    <t>Student - Tutorial Bundle x2 tier</t>
  </si>
  <si>
    <t>e2e.stu.bundlex2.260908@mailinator.com</t>
  </si>
  <si>
    <t>Account ID E2L-26090886428. Used to confirm Tutorial Bundle tiers are fully locked from upgrading (TC-STU-051).</t>
  </si>
  <si>
    <t>Mobile</t>
  </si>
  <si>
    <t>16 cases added covering login (incl. all Content Tool variants), navigation, onboarding, and one representative case each for Registration/Upgrade/Add-on/Package Upgrade/Live Class. This is NOT a full mobile mirror of the 54-case Student tab. In particular, Live Class alone has 28 cases in the original Mobile Environment sheet (its largest module by far, presumably covering per-package-tier registration/unregistration/join variants) - only 1 representative case is included here. If mobile is a real release-blocking surface, this needs its own dedicated deeper pass.</t>
  </si>
  <si>
    <t>Student - Express Extra tier</t>
  </si>
  <si>
    <t>e2e.stu.expressextra.260908@mailinator.com</t>
  </si>
  <si>
    <t>Account ID E2L-26090853782. Used for Express Extra -&gt; Silver (allowed, TC-STU-052).</t>
  </si>
  <si>
    <t>Registration entry points</t>
  </si>
  <si>
    <t>5 of the wiki's documented 9 entry points now have cases. Not yet cased: the plain website pricing table, the embedded promo URL, WooCommerce GRE registration (with its post-registration questions), and WooCommerce E2 English registration (which the wiki flags as asymmetric - it skips those questions, unconfirmed-intentional).</t>
  </si>
  <si>
    <t>Student - Free Account - Expired</t>
  </si>
  <si>
    <t>e2e-manual-test-001@mailinator.com</t>
  </si>
  <si>
    <t>E2L-26061189100 - &gt; Expired account -&gt; PTE Free Account</t>
  </si>
  <si>
    <t>Student - Free Account - Extended</t>
  </si>
  <si>
    <t>test-ptea123@testing.com</t>
  </si>
  <si>
    <t>E2L-26062421523 -&gt; Expired Account -&gt; PTE Free Account</t>
  </si>
  <si>
    <t>Account &amp; Security</t>
  </si>
  <si>
    <t>Forgot/Reset Password and Change Password are now cased for all 3 roles, but every field-level detail (password policy, exact link text, exact confirmation copy) is PLACEHOLDER - these flows were never exercised live; they're grounded only in the confirmed underlying tech (Azure AD B2C's standard reset flow + SendGrid for email delivery), not in observed UI.</t>
  </si>
  <si>
    <t>Vouchers / discounts created or found during the 2026-09-08 pass</t>
  </si>
  <si>
    <t>Organization voucher (created via Admin for this pass)</t>
  </si>
  <si>
    <t>GP001-bZbC-01</t>
  </si>
  <si>
    <t>Created via Admin &gt; Partners &gt; Organization &gt; Genepool &gt; Show Voucher &gt; Create Single Voucher. Type: Price Discount -$10.00, Test Type: PTE, Usability: Multiple. Confirmed working end-to-end (TC-STU-033) - the discount applied automatically and the resulting student was correctly listed under Organization = Genepool.</t>
  </si>
  <si>
    <t>Email domain - also found blocked (new this pass)</t>
  </si>
  <si>
    <t>@yopmail.com</t>
  </si>
  <si>
    <t>Registration rejects this domain with 'An error occurred while validating the email address' - same category of block as the pre-existing @mailinator.com bug (TC-STU-008), suggesting a generic disposable-email-domain filter rather than a mailinator-specific rule.</t>
  </si>
  <si>
    <t>Live Class actual in-session experience</t>
  </si>
  <si>
    <t>Joining is covered (redirect to Zoom); what happens inside the live session (attendance tracking, recording, teacher controls during class) is not covered - out of scope of what was ever observed.</t>
  </si>
  <si>
    <t>NOT COVERED / OUT OF SCOPE (named explicitly, not silently omitted)</t>
  </si>
  <si>
    <t>Content Tool admin/authoring side</t>
  </si>
  <si>
    <t>Content Tool &gt; Admin Home, User, Licenses, Content Creator Home, Content Evaluator (5 of 7 CT wiki docs were never read - see e2-engineering-wiki-findings.md 'Not yet read'). No test cases exist for authoring or managing content itself.</t>
  </si>
  <si>
    <t>E2 Platform / LearningBase (separate products)</t>
  </si>
  <si>
    <t>The wiki's 'E2 Dev Team' and a separate 'E2Language' collection turned out to mostly document two related-but-different products (LearningBase, rcv2-1.learningbase.io; E2 Platform, demoweb.e2platform.io) sharing some backend with E2 Language. Deliberately excluded - this suite is scoped to E2 Language only.</t>
  </si>
  <si>
    <t>Field-level form validation</t>
  </si>
  <si>
    <t>Required-field checks, password complexity rules, email format validation, and most exact form field lists (Registration, Live Class Scheduler, Submit Invoice, Teaching Summary, Profile Settings, CELPIP Migration) were never itemized in any source - marked PLACEHOLDER throughout rather than guessed.</t>
  </si>
  <si>
    <t>Notifications / transactional email content</t>
  </si>
  <si>
    <t>SendGrid is confirmed as the email service, and Abandon Cart's 'Email Status' column is confirmed to exist in Admin &gt; Analysis, but no test case verifies actual email delivery, content, or the Abandon Cart recovery email itself (that grid is one of the two confirmed 'never loads' defects, which also blocks verifying it server-side).</t>
  </si>
  <si>
    <t>Non-functional testing</t>
  </si>
  <si>
    <t>Performance/load, accessibility, cross-browser/cross-device matrices, and security testing (beyond the RBAC/session-scope cases already included) are out of scope of this suite entirely.</t>
  </si>
  <si>
    <t>Concurrent/multi-device sessions</t>
  </si>
  <si>
    <t>What happens if the same account is logged in on two devices/browsers at once was never explored or documented.</t>
  </si>
  <si>
    <t>Referrer-side E2 Rewards verification</t>
  </si>
  <si>
    <t>The referred student's 25% discount is cased (TC-STU by ID in the wiki batch); the REFERRER's own reward (discount at 1 referral, bonus tutorial at 3 referrals) is explicitly flagged in the wiki as a not-yet-written follow-up and still isn't cased here.</t>
  </si>
  <si>
    <t>Admin credentials gap — RESOLVED this pass</t>
  </si>
  <si>
    <t>The user supplied a working Super Administrator credential (apadmin@mailinator.com) which was verified live: real dashboard route, full nav, and the People &gt; Student/Teacher/Administrators screens. This was previously the #1 priority gap and is now closed for the login + People area. Not yet deep-dived with real clicks: Partners, Live Class, Video Collections, Scheduler, Analysis, AI Result, Currency Rate, Marketing Tools, Campus, Announcements, Study Pathway Rules, Utility, Banner, Group Class, Invoice, Embedded Pricing - their existence as top-level nav items is confirmed, but their internal screens/URLs are still PLACEHOLDER.</t>
  </si>
  <si>
    <t>Bottom line</t>
  </si>
  <si>
    <t>Verdict</t>
  </si>
  <si>
    <t>173 test cases is comprehensive for a first release of an automatable E2E suite built entirely from verified sources, but it is not exhaustive application coverage. The gaps above are the concrete list to close next, roughly in this priority order: (1) a deep-dive pass through the remaining 14 Admin nav sections (Partners, Live Class, Video Collections, Scheduler, Analysis, AI Result, Currency Rate, Marketing Tools, Campus, Announcements, Study Pathway Rules, Utility, Banner, Group Class, Invoice, Embedded Pricing), now that working Admin credentials exist to do it with; (2) a dedicated Mobile Live Class pass, since it's the largest single module in the original suite and is currently only spot-checked; (3) the 4 remaining Registration entry points; (4) Content Tool's admin/authoring side, if that's in scope for this QA effort at all.</t>
  </si>
  <si>
    <t>E2E Test Suite — Coverage Dashboard</t>
  </si>
  <si>
    <t>All counts are live formulas over the Admin/Teacher/Student/Mobile tabs - will update automatically if rows are added, removed, or Status is changed.</t>
  </si>
  <si>
    <t>Test Cases by Role</t>
  </si>
  <si>
    <t>Role</t>
  </si>
  <si>
    <t>Count</t>
  </si>
  <si>
    <t>Admin</t>
  </si>
  <si>
    <t>Teacher</t>
  </si>
  <si>
    <t>Student</t>
  </si>
  <si>
    <t>Test Cases by Type</t>
  </si>
  <si>
    <t>Type</t>
  </si>
  <si>
    <t>Smoke</t>
  </si>
  <si>
    <t>Regression</t>
  </si>
  <si>
    <t>Test Cases by Execution Type</t>
  </si>
  <si>
    <t>Execution Type</t>
  </si>
  <si>
    <t>Automation</t>
  </si>
  <si>
    <t>Manual</t>
  </si>
  <si>
    <t>Test Cases by Priority</t>
  </si>
  <si>
    <t>Priority</t>
  </si>
  <si>
    <t>High</t>
  </si>
  <si>
    <t>Medium</t>
  </si>
  <si>
    <t>Low</t>
  </si>
  <si>
    <t>Test Cases by Status</t>
  </si>
  <si>
    <t>Status</t>
  </si>
  <si>
    <t>Not Executed</t>
  </si>
  <si>
    <t>Passed</t>
  </si>
  <si>
    <t>Failed</t>
  </si>
  <si>
    <t>Blocked</t>
  </si>
  <si>
    <t>Totals</t>
  </si>
  <si>
    <t>Total Test Cases</t>
  </si>
  <si>
    <t>Executed So Far (Passed+Failed+Blocked)</t>
  </si>
  <si>
    <t>Pass Rate (of executed)</t>
  </si>
  <si>
    <t>Test Case ID</t>
  </si>
  <si>
    <t>Test Case Title</t>
  </si>
  <si>
    <t>Test Case Description</t>
  </si>
  <si>
    <t>Module</t>
  </si>
  <si>
    <t>Preconditions</t>
  </si>
  <si>
    <t>Test Data</t>
  </si>
  <si>
    <t>URL</t>
  </si>
  <si>
    <t>Steps</t>
  </si>
  <si>
    <t>Expected Result</t>
  </si>
  <si>
    <t>Postcondition</t>
  </si>
  <si>
    <t>TC-ADM-001</t>
  </si>
  <si>
    <t>Verify that Admin logs in with valid credentials</t>
  </si>
  <si>
    <t>Verify that an admin can log in with valid credentials and is taken to Admin Home with the correct role badge and full navigation menu.</t>
  </si>
  <si>
    <t>Login &amp; Authentication</t>
  </si>
  <si>
    <t>Valid Super Administrator credentials for the staging environment (CONFIRMED LIVE this session — see Credentials sheet). Browser: latest Chrome/Firefox/Edge/Safari.</t>
  </si>
  <si>
    <t>Username = apadmin@mailinator.com; Password = RzyE3Bti2ZHGqJjU</t>
  </si>
  <si>
    <t>1. Navigate to the Account/Login URL.
2. Enter the Super Administrator email/username.
3. Enter the corresponding password.
4. Click Login/Sign In.</t>
  </si>
  <si>
    <t>Admin logs in successfully and lands on Admin Home, with the correct role badge and the full navigation menu showing.</t>
  </si>
  <si>
    <t>An authenticated Admin (Azure AD B2C) session exists for subsequent Admin test cases.</t>
  </si>
  <si>
    <t>TC-ADM-002</t>
  </si>
  <si>
    <t>Verify that Admin login fails with wrong credentials</t>
  </si>
  <si>
    <t>Verify that logging in with the wrong credentials is rejected, shows an error message, and keeps the admin on the login page.</t>
  </si>
  <si>
    <t>No active session (logged out).</t>
  </si>
  <si>
    <t>Username = apadmin@mailinator.com (valid); Password = WrongPass!1 (deliberately incorrect)</t>
  </si>
  <si>
    <t>1. Navigate to the Account/Login URL.
2. Enter a valid Admin username.
3. Enter an incorrect password.
4. Click Login/Sign In.</t>
  </si>
  <si>
    <t>Login is rejected, an error message is shown, and the admin stays on the login page.</t>
  </si>
  <si>
    <t>No session created.</t>
  </si>
  <si>
    <t>TC-ADM-003</t>
  </si>
  <si>
    <t>Verify that Admin logs out successfully</t>
  </si>
  <si>
    <t>Verify that logging out actually ends the admin's session, so opening any Admin page afterward redirects back to the login page.</t>
  </si>
  <si>
    <t>Authenticated as Admin (TC-ADM-001 completed).</t>
  </si>
  <si>
    <t>1. From any authenticated Admin page, open the account menu and click Logout.
2. Confirm the browser lands back on the login page.
3. Attempt to navigate directly back to an Admin page.</t>
  </si>
  <si>
    <t>The admin is logged out. Opening any Admin page afterward redirects back to the login page.</t>
  </si>
  <si>
    <t>Session ended.</t>
  </si>
  <si>
    <t>TC-ADM-004</t>
  </si>
  <si>
    <t>Verify that Admin session is not lost when switching apps</t>
  </si>
  <si>
    <t>Verify that an admin's session survives switching to another role's site without being logged out or switched, and that logging out is required before logging in as a different role.</t>
  </si>
  <si>
    <t>Login &amp; Authentication - Session Scope</t>
  </si>
  <si>
    <t>Authenticated as Admin without logging out.</t>
  </si>
  <si>
    <t>https://azdopl-rc-main.e2language.com/ or the Teacher host, while an Admin session is active</t>
  </si>
  <si>
    <t>1. While authenticated as Admin, navigate directly to the Student app host or the Teacher dashboard URL without using Logout first.
2. Observe the resulting page.</t>
  </si>
  <si>
    <t>Moving to another role's site while still logged in as Admin does not log the admin out or switch their role - they stay on their own Admin page. Logging out first is required before logging in as a different role.</t>
  </si>
  <si>
    <t>Original Admin session remains active.</t>
  </si>
  <si>
    <t>TC-ADM-005</t>
  </si>
  <si>
    <t>Verify that Admin Dashboard loads with full navigation</t>
  </si>
  <si>
    <t>Verify that the Admin Dashboard loads with all 18 navigation sections visible and clickable.</t>
  </si>
  <si>
    <t>Admin Dashboard</t>
  </si>
  <si>
    <t>Authenticated as Admin (TC-ADM-001).</t>
  </si>
  <si>
    <t>1. Log in as Admin.
2. Observe the landing page and left navigation.
3. Confirm each of the 18 confirmed top-level nav items is present: Dashboard, People, Partners, Live Class, Video Collections, Scheduler, Analysis, AI Result, Currency Rate, Marketing Tools, Campus, Announcements, Study Pathway Rules, Utility, Banner, Group Class, Invoice, Embedded Pricing.</t>
  </si>
  <si>
    <t>All 18 navigation sections appear and can be clicked. Known issue: the main dashboard area only shows placeholder text - no real charts or widgets yet.</t>
  </si>
  <si>
    <t>TC-ADM-006</t>
  </si>
  <si>
    <t>Verify that Administrators list loads correctly</t>
  </si>
  <si>
    <t>Verify that the Administrators list loads correctly with a search box, the expected columns, and the existing admin accounts.</t>
  </si>
  <si>
    <t>Admin Setup - Users</t>
  </si>
  <si>
    <t>Authenticated as Admin.</t>
  </si>
  <si>
    <t>Convention: ims.test.admin.YYMMDD.NN@mailinator.com (see Credentials sheet)</t>
  </si>
  <si>
    <t>Admin &gt; People &gt; Administrators (client-side SPA nav - no distinct URL; see Dashboard URLs sheet)</t>
  </si>
  <si>
    <t>1. Navigate to People &gt; Administrators.
2. Confirm the Administrators grid loads with UserName / Email Address columns and a Search box.
3. Search for an existing QA test admin account following the naming convention, or create a new one following the same convention.</t>
  </si>
  <si>
    <t>The Administrators list loads with a search box and the expected columns, and shows the existing admin accounts.</t>
  </si>
  <si>
    <t>TC-ADM-007</t>
  </si>
  <si>
    <t>Verify that Admin searches for a student</t>
  </si>
  <si>
    <t>Verify that an admin can search for a student by email and is taken directly to that student's Detail page.</t>
  </si>
  <si>
    <t>Authenticated as Admin. An existing Student test account (e.g. kadaj29422@prorises.com).</t>
  </si>
  <si>
    <t>Keyword = kadaj29422@prorises.com (or a Student ID like E2L-108876)</t>
  </si>
  <si>
    <t>Admin &gt; People &gt; Student &gt; Search (client-side SPA nav - no distinct URL)</t>
  </si>
  <si>
    <t>1. Navigate to People &gt; Student &gt; Search.
2. Enter the student's email address or Student ID in the Keyword field.
3. Click Search.
4. Click the returned Student ID link to open the record.</t>
  </si>
  <si>
    <t>Searching by email finds the right student and opens their Student Detail page.</t>
  </si>
  <si>
    <t>TC-ADM-008</t>
  </si>
  <si>
    <t>Verify that Admin adds a package to a student</t>
  </si>
  <si>
    <t>Verify that an admin can add a package to a student without a real payment, as a quick way to set up a paid-student account for other tests.</t>
  </si>
  <si>
    <t>TC-ADM-007 completed (student record open).</t>
  </si>
  <si>
    <t>Target package example: PTE Core Silver.</t>
  </si>
  <si>
    <t>Student Detail &gt; View Package Detail &gt; Add Package (client-side SPA nav - no distinct URL)</t>
  </si>
  <si>
    <t>1. From the open student record, click View Package Detail (this expands an inline 'Student Package' panel, NOT a separate page).
2. In that panel, click Add Package.
3. Choose a target package and confirm.</t>
  </si>
  <si>
    <t>Admin can add a package to a student without a real payment - a quick way to set up a 'paid student' for other tests.</t>
  </si>
  <si>
    <t>Student now holds the assigned package - usable as a precondition for Upgrade / Extend / Switch Course / Add-on test cases and for TC-E2E-001.</t>
  </si>
  <si>
    <t>TC-ADM-009</t>
  </si>
  <si>
    <t>Verify that Student's package details display correctly</t>
  </si>
  <si>
    <t>Verify that a student's Package Detail panel correctly shows their exam type, package, organization, and status.</t>
  </si>
  <si>
    <t>Student Detail &gt; View Package Detail (client-side SPA nav - no distinct URL)</t>
  </si>
  <si>
    <t>1. From the student record, click View Package Detail.</t>
  </si>
  <si>
    <t>The Package Detail panel shows the student's exam type, package, organization, and status correctly.</t>
  </si>
  <si>
    <t>TC-ADM-010</t>
  </si>
  <si>
    <t>Verify that Student's registration history is viewable</t>
  </si>
  <si>
    <t>Verify that clicking View Registration History shows the student's registration history list.</t>
  </si>
  <si>
    <t>An existing Student test account (student record open).</t>
  </si>
  <si>
    <t>Student Detail &gt; View Registration History (client-side SPA nav - no distinct URL)</t>
  </si>
  <si>
    <t>1. From the student record, click View Registration History.</t>
  </si>
  <si>
    <t>Clicking View Registration History shows a history list for the student.</t>
  </si>
  <si>
    <t>TC-ADM-011</t>
  </si>
  <si>
    <t>Verify that All exam types are available as filters</t>
  </si>
  <si>
    <t>Verify that all 10 exam types plus 'ALL' appear wherever an Exam Type filter is shown.</t>
  </si>
  <si>
    <t>Admin Setup - Course/Subject</t>
  </si>
  <si>
    <t>Authenticated as Admin or Teacher.</t>
  </si>
  <si>
    <t>Confirmed live values: ALL, PTE, PTE Core, TOEFL, OET (Nurses and Doctors), OET (Nurses), OET (Doctors), OET (Pharmacy), IELTS Academic, IELTS General, TOEIC.</t>
  </si>
  <si>
    <t>Any Admin/Teacher screen exposing the Exam Type Code filter (confirmed present on Teacher &gt; Assessment)</t>
  </si>
  <si>
    <t>1. Open a screen with an Exam Type Code filter.
2. Open the dropdown.
3. Compare the full option list against the confirmed taxonomy.</t>
  </si>
  <si>
    <t>All 10 exam types plus 'ALL' show up wherever an Exam Type filter appears.</t>
  </si>
  <si>
    <t>TC-ADM-012</t>
  </si>
  <si>
    <t>Verify that Admin schedules a new Live Class</t>
  </si>
  <si>
    <t>Verify that an admin can schedule a new Live Class and it appears in the Upcoming Live Class list.</t>
  </si>
  <si>
    <t>Admin Setup - Class</t>
  </si>
  <si>
    <t>No Live Class instance currently scheduled (confirmed default: Admin &gt; Live Class &gt; Event ('Upcoming') shows 'No results found!').</t>
  </si>
  <si>
    <t>Exact scheduler form fields PLACEHOLDER - not itemized in findings (expected: date/time, exam type, teacher assignment, capacity - confirm actual fields at execution).</t>
  </si>
  <si>
    <t>Admin/Teacher &gt; Live Class Scheduler (exact URL PLACEHOLDER)</t>
  </si>
  <si>
    <t>1. Navigate to Live Class Scheduler.
2. Create/schedule a new Live Class instance for a test exam type and time slot.
3. Confirm it now appears under Admin &gt; Live Class &gt; Event (Upcoming).</t>
  </si>
  <si>
    <t>The newly scheduled class appears in the Upcoming Live Class list.</t>
  </si>
  <si>
    <t>A live class instance now exists, unblocking any Live Class module test case that requires one (matches the precondition addendum already applied to the Live Class module in E2_Language_Regression_Test_Cases_v2.xlsx).</t>
  </si>
  <si>
    <t>TC-ADM-013</t>
  </si>
  <si>
    <t>Verify that Admin generates an Activity URL</t>
  </si>
  <si>
    <t>Verify that an admin can generate an Activity URL and the resulting deep link actually works.</t>
  </si>
  <si>
    <t>Admin Setup - Assignments</t>
  </si>
  <si>
    <t>Authenticated as Admin. At least one existing AI practice activity (e.g. 'Practice Test 1: Writing Task 1').</t>
  </si>
  <si>
    <t>Admin &gt; Marketing Tools &gt; Activity URL (exact base URL PLACEHOLDER)</t>
  </si>
  <si>
    <t>1. Navigate to Marketing Tools &gt; Activity URL.
2. Locate an existing activity.
3. Click 'View Url' to generate its direct deep link.
4. Copy the URL.</t>
  </si>
  <si>
    <t>A working deep link to the activity is generated.</t>
  </si>
  <si>
    <t>TC-ADM-014</t>
  </si>
  <si>
    <t>Verify that Admin generates a Package URL</t>
  </si>
  <si>
    <t>Verify that an admin can generate a Package URL and the resulting deep link actually works.</t>
  </si>
  <si>
    <t>Admin &gt; Marketing Tools &gt; Package URL (exact URL PLACEHOLDER)</t>
  </si>
  <si>
    <t>1. Navigate to Marketing Tools &gt; Package URL.
2. Generate a deep link for an existing package.</t>
  </si>
  <si>
    <t>A working deep link to the package is generated.</t>
  </si>
  <si>
    <t>TC-ADM-015</t>
  </si>
  <si>
    <t>Verify that Admin generates an Add-on URL</t>
  </si>
  <si>
    <t>Verify that an admin can generate an Add-on URL and the resulting deep link actually works.</t>
  </si>
  <si>
    <t>Admin &gt; Marketing Tools &gt; Addons URL (exact URL PLACEHOLDER)</t>
  </si>
  <si>
    <t>1. Navigate to Marketing Tools &gt; Addons URL.
2. Generate a deep link for an existing add-on.</t>
  </si>
  <si>
    <t>A working deep link to the add-on is generated.</t>
  </si>
  <si>
    <t>TC-ADM-016</t>
  </si>
  <si>
    <t>Verify that Blocked email domains are enforced</t>
  </si>
  <si>
    <t>Verify that the blocked email-domain list matches the Email Domain Validation setting actually configured.</t>
  </si>
  <si>
    <t>Admin Setup - Utility</t>
  </si>
  <si>
    <t>Authenticated as Admin. 'Email Domain Validation' system flag is currently On (confirmed).</t>
  </si>
  <si>
    <t>Blocked: mailinator.net, mailinator2.com. Allowed: mailinator.com.</t>
  </si>
  <si>
    <t>Admin &gt; Utility &gt; System Setting / Temporary Email Domain (exact URL PLACEHOLDER)</t>
  </si>
  <si>
    <t>1. Navigate to Utility &gt; System Setting and confirm 'Email Domain Validation' = On.
2. Navigate to Utility &gt; Temporary Email Domain and confirm mailinator.net and mailinator2.com are present on the blocklist, and mailinator.com is not.</t>
  </si>
  <si>
    <t>The blocked-domain list and the Email Domain Validation setting match what's configured.</t>
  </si>
  <si>
    <t>TC-ADM-017</t>
  </si>
  <si>
    <t>Verify that System feature flags match expected state</t>
  </si>
  <si>
    <t>Verify that every system feature flag shows its expected On/Off state.</t>
  </si>
  <si>
    <t>Confirmed On: Enable Placement Test, Enable E2S English Fundamental, CELPIP Home V2, Toefl retirement setting. Confirmed Off: Enable Split it Add On Payment, Password Protected Page.</t>
  </si>
  <si>
    <t>Admin &gt; Utility &gt; System Setting (exact URL PLACEHOLDER)</t>
  </si>
  <si>
    <t>1. Navigate to Utility &gt; System Setting.
2. Confirm each listed flag's state matches the confirmed value.</t>
  </si>
  <si>
    <t>Every feature flag shows the expected On/Off state.</t>
  </si>
  <si>
    <t>TC-ADM-018</t>
  </si>
  <si>
    <t>Verify that Admin generates an embedded pricing widget</t>
  </si>
  <si>
    <t>Verify that an admin can generate an embedded pricing widget, producing a working pricing-table URL and embed code based on the chosen options.</t>
  </si>
  <si>
    <t>Course Type, Voucher Code, Organization Code, Disable Hero Voucher toggle.</t>
  </si>
  <si>
    <t>Admin &gt; Utility &gt; Embedded Pricing (exact URL PLACEHOLDER)</t>
  </si>
  <si>
    <t>1. Navigate to Embedded Pricing.
2. Generate an embeddable pricing-table iframe using a Course Type, Voucher Code, and Organization Code.
3. Copy the generated URL/embed code.</t>
  </si>
  <si>
    <t>A pricing-table URL and embed code are generated based on the chosen options.</t>
  </si>
  <si>
    <t>TC-ADM-019</t>
  </si>
  <si>
    <t>Verify that Admin runs a CELPIP student migration</t>
  </si>
  <si>
    <t>Verify that an admin can run a CELPIP student migration, with the tool accepting a list of student emails and processing the batch.</t>
  </si>
  <si>
    <t>Authenticated as Admin. Up to 25 legacy CELPIP account emails.</t>
  </si>
  <si>
    <t>Admin &gt; People &gt; Student &gt; CELPIP Migration (exact URL PLACEHOLDER)</t>
  </si>
  <si>
    <t>1. Navigate to People &gt; Student &gt; CELPIP Migration.
2. Submit up to 25 emails for bulk legacy-account migration.</t>
  </si>
  <si>
    <t>The migration tool accepts the list of student emails and processes the batch.</t>
  </si>
  <si>
    <t>TC-ADM-020</t>
  </si>
  <si>
    <t>Verify that Partner organization codes show correct status</t>
  </si>
  <si>
    <t>Verify that every partner organization code shows the correct Active or Inactive status.</t>
  </si>
  <si>
    <t>Admin Setup - Partners</t>
  </si>
  <si>
    <t>Active: GP001, IALF, BROAD, ASPIRE, NAVITAS. Inactive: JAMESEDUCATION, EIGHTFOLD, GOOD.</t>
  </si>
  <si>
    <t>Admin &gt; Partners &gt; Organization (exact URL PLACEHOLDER)</t>
  </si>
  <si>
    <t>1. Navigate to Partners &gt; Organization.
2. Confirm each Active code shows Active status and each Inactive code shows Inactive status.</t>
  </si>
  <si>
    <t>Each partner organization code shows the correct Active or Inactive status.</t>
  </si>
  <si>
    <t>TC-ADM-021</t>
  </si>
  <si>
    <t>Verify that Organization's own vouchers display correctly</t>
  </si>
  <si>
    <t>Verify that an organization's own vouchers display correctly, separate from the general voucher list.</t>
  </si>
  <si>
    <t>Authenticated as Admin. An existing partner Organization (e.g. GP001).</t>
  </si>
  <si>
    <t>Admin &gt; Partners &gt; Organization &gt; Show Voucher (exact URL PLACEHOLDER)</t>
  </si>
  <si>
    <t>1. Open an Organization record.
2. Select 'Show Voucher'.</t>
  </si>
  <si>
    <t>The organization's own vouchers show up, separate from the general voucher list.</t>
  </si>
  <si>
    <t>TC-ADM-022</t>
  </si>
  <si>
    <t>Verify that Payment Log shows accurate transactions</t>
  </si>
  <si>
    <t>Verify that the Payment Log loads and shows accurate transaction records.</t>
  </si>
  <si>
    <t>Admin Setup - Analysis</t>
  </si>
  <si>
    <t>Authenticated as Admin. At least one completed transaction exists.</t>
  </si>
  <si>
    <t>Admin &gt; Analysis &gt; Payment Log (exact URL PLACEHOLDER)</t>
  </si>
  <si>
    <t>1. Navigate to Analysis &gt; Payment Log.
2. Confirm the grid loads (observed live: ~9-11s, slow but resolves) and shows Transaction Date / Email / Type / Status (PENDING vs COMPLETED) columns.</t>
  </si>
  <si>
    <t>The Payment Log loads and shows accurate transaction records.</t>
  </si>
  <si>
    <t>TC-ADM-023</t>
  </si>
  <si>
    <t>Verify that Tax (GST/VAT) is applied based on location</t>
  </si>
  <si>
    <t>Verify that tax (GST/VAT/Non-GST) is applied based on the student's actual location (IP), not their profile's country field.</t>
  </si>
  <si>
    <t>Authenticated as Admin. A GST-applicable (Australian IP) transaction exists.</t>
  </si>
  <si>
    <t>Admin &gt; Analysis &gt; GST Report (exact URL PLACEHOLDER)</t>
  </si>
  <si>
    <t>1. Navigate to Analysis &gt; GST Report.
2. Confirm the 'Registration Info' column shows IP + geolocation pairs.
3. Confirm GST-flagged transactions correspond to Australian IPs.</t>
  </si>
  <si>
    <t>Tax (GST/VAT/Non-GST) is decided by the student's actual location (IP), not their profile's country field.</t>
  </si>
  <si>
    <t>TC-ADM-024</t>
  </si>
  <si>
    <t>Verify that AI Result grid fails to load (known issue)</t>
  </si>
  <si>
    <t>Verify whether the AI Result grid still fails to load - a known issue kept as a case to catch when it's fixed.</t>
  </si>
  <si>
    <t>Admin Setup - Analysis (known defect)</t>
  </si>
  <si>
    <t>Admin &gt; Analysis &gt; AI Result (exact URL PLACEHOLDER)</t>
  </si>
  <si>
    <t>1. Navigate to Analysis &gt; AI Result.
2. Wait at least 15s.</t>
  </si>
  <si>
    <t>Known issue: this grid never finishes loading. Use this case to check whether it's been fixed.</t>
  </si>
  <si>
    <t>TC-ADM-025</t>
  </si>
  <si>
    <t>Verify that Abandon Cart grid fails to load (known issue)</t>
  </si>
  <si>
    <t>Verify whether the Abandon Cart grid still fails to load - a known issue kept as a case to catch when it's fixed.</t>
  </si>
  <si>
    <t>Admin &gt; Analysis &gt; Abandon Cart (exact URL PLACEHOLDER)</t>
  </si>
  <si>
    <t>1. Navigate to Analysis &gt; Abandon Cart.
2. Wait at least 15s.</t>
  </si>
  <si>
    <t>TC-ADM-026</t>
  </si>
  <si>
    <t>Verify that Teacher invoices are visible to Admin</t>
  </si>
  <si>
    <t>Verify that invoices submitted by teachers correctly appear on the Admin side.</t>
  </si>
  <si>
    <t>Admin Setup - Reporting</t>
  </si>
  <si>
    <t>Authenticated as Admin. Teacher(s) have submitted invoices (Teacher tab, Submit Invoice case).</t>
  </si>
  <si>
    <t>Admin &gt; Invoice &gt; Tutor Pricing / Invoice History (exact URL PLACEHOLDER)</t>
  </si>
  <si>
    <t>1. Navigate to Invoice &gt; Invoice History.
2. Confirm invoices submitted by Teachers appear here.</t>
  </si>
  <si>
    <t>Invoices submitted by teachers appear on the Admin side.</t>
  </si>
  <si>
    <t>TC-ADM-027</t>
  </si>
  <si>
    <t>Verify that Study Pathway Rules recommend a pathway</t>
  </si>
  <si>
    <t>Verify that choosing a combination of Study Pathway inputs returns a recommended pathway.</t>
  </si>
  <si>
    <t>Admin Setup - Study Pathway</t>
  </si>
  <si>
    <t>Example: PTE score band x preparation-time band.</t>
  </si>
  <si>
    <t>Admin &gt; Study Pathway Rules (exact URL PLACEHOLDER)</t>
  </si>
  <si>
    <t>1. Navigate to Study Pathway Rules.
2. Filter by exam type.
3. Confirm a rule mapping (score band x prep-time band) -&gt; recommended study pathway is shown.</t>
  </si>
  <si>
    <t>Choosing a combination of inputs returns a recommended study pathway.</t>
  </si>
  <si>
    <t>TC-E2E-001</t>
  </si>
  <si>
    <t>Verify that Admin sets the student's package (E2E step 1 of 6)</t>
  </si>
  <si>
    <t>Verify that an admin can set a student's package correctly, as the first step of the 6-step cross-role E2E flow.</t>
  </si>
  <si>
    <t>Cross-Role E2E Flow (leg 1 of 6)</t>
  </si>
  <si>
    <t>Admin authenticated (TC-ADM-001). Test student exists (kadaj29422@prorises.com, or a fresh student from TC-STU-007).</t>
  </si>
  <si>
    <t>Target package: e.g. PTE Core Silver.</t>
  </si>
  <si>
    <t>Admin &gt; People &gt; Student &gt; Add Package (exact URL PLACEHOLDER)</t>
  </si>
  <si>
    <t>1. Search for the test student.
2. Add/confirm the target package via Add Package.
3. Verify via View Package Detail.</t>
  </si>
  <si>
    <t>The student's package is set as expected, ready for the next step in the chain.</t>
  </si>
  <si>
    <t>Student holds the assigned package. Feeds TC-E2E-002.</t>
  </si>
  <si>
    <t>TC-E2E-006</t>
  </si>
  <si>
    <t>Verify that Admin confirms the full E2E flow (E2E step 6 of 6)</t>
  </si>
  <si>
    <t>Verify that everything the Teacher and Student did earlier in the E2E flow shows correctly on the Admin side, as the final step of the chain.</t>
  </si>
  <si>
    <t>Cross-Role E2E Flow (leg 6 of 6)</t>
  </si>
  <si>
    <t>TC-E2E-001 through TC-E2E-005 completed. Admin authenticated.</t>
  </si>
  <si>
    <t>Admin &gt; Analysis &gt; Payment Log, or Admin &gt; Marketing Tools &gt; Activity URL (exact URLs PLACEHOLDER)</t>
  </si>
  <si>
    <t>1. Log in as Admin.
2. If a real paid transaction occurred anywhere in the chain (e.g. a TC-STU-007-style registration/upgrade was used instead of Add Package), confirm it in Payment Log.
3. Otherwise, confirm via Marketing Tools &gt; Activity URL that the activity used in TC-E2E-003 is a known, catalogued activity.</t>
  </si>
  <si>
    <t>Everything the Teacher and Student did earlier in the chain shows correctly on the Admin side.</t>
  </si>
  <si>
    <t>Full cross-role chain verified end-to-end.</t>
  </si>
  <si>
    <t>TC-ADM-028</t>
  </si>
  <si>
    <t>Verify that Admin requests a password reset email</t>
  </si>
  <si>
    <t>Verify that an admin can request a password reset and a reset email is actually sent.</t>
  </si>
  <si>
    <t>Account &amp; Security - Password Reset</t>
  </si>
  <si>
    <t>Admin account exists; no active session.</t>
  </si>
  <si>
    <t>apadmin@mailinator.com (CONFIRMED - see Credentials sheet)</t>
  </si>
  <si>
    <t>1. On the login page, click 'Did you forget your password? Click here' (CONFIRMED LIVE exact link text this session).
2. Enter the Admin's email address.
3. Submit the request.</t>
  </si>
  <si>
    <t>A password-reset email is sent to the admin.</t>
  </si>
  <si>
    <t>A reset token/link has been issued for the account.</t>
  </si>
  <si>
    <t>TC-ADM-029</t>
  </si>
  <si>
    <t>Verify that Admin resets password via email link</t>
  </si>
  <si>
    <t>Verify that an admin can reset their password via the emailed link, after which the old password stops working.</t>
  </si>
  <si>
    <t>TC-ADM-028 completed; a reset email has been sent.</t>
  </si>
  <si>
    <t>New password meeting the app's password policy (exact policy PLACEHOLDER - not captured; Azure AD B2C default complexity rules expected).</t>
  </si>
  <si>
    <t>Reset link URL (PLACEHOLDER - delivered via email, not independently captured)</t>
  </si>
  <si>
    <t>1. Open the password-reset email (test inbox, e.g. a mailinator.com address if the Admin account uses one).
2. Click the reset link.
3. Enter and confirm a new password.
4. Submit.
5. Log in with the new password.</t>
  </si>
  <si>
    <t>The admin can log in with the new password; the old password stops working.</t>
  </si>
  <si>
    <t>Password changed.</t>
  </si>
  <si>
    <t>TC-ADM-030</t>
  </si>
  <si>
    <t>Verify that Student grid loads with filters and tabs</t>
  </si>
  <si>
    <t>Verify that the Student grid loads with its status tabs, filters, and a paginated list.</t>
  </si>
  <si>
    <t>Admin Setup - Users (Student Grid)</t>
  </si>
  <si>
    <t>Admin &gt; People &gt; Student &gt; Grid (client-side SPA nav - no distinct URL)</t>
  </si>
  <si>
    <t>1. Navigate to People &gt; Student &gt; Grid.
2. Confirm the status tabs New / Active / Inactive / Expired / Obsolete Activation / Paused are present.
3. Confirm the Student criteria filter (All / Paid / Free) is present.
4. Run a search with the default (empty) filter on the 'New' tab.</t>
  </si>
  <si>
    <t>The Student grid loads with status tabs, filters, and a paginated list.</t>
  </si>
  <si>
    <t>TC-ADM-031</t>
  </si>
  <si>
    <t>Verify that Admin creates a new student account</t>
  </si>
  <si>
    <t>Verify that an admin can create a new student account with a Test Type and Package already active, and the student can log in immediately with the password that was set.</t>
  </si>
  <si>
    <t>Admin Setup - Users (Create Student)</t>
  </si>
  <si>
    <t>Example used and CONFIRMED LIVE: First Name "E2E", Last Name "Student0907", Email "e2e.student.260907@mailinator.com", Test Type "PTE Core", Package "PTE Core Silver", Time Zone "(UTC+10:00) Canberra, Melbourne, Sydney", Password/Retype Password "Temp@1234".</t>
  </si>
  <si>
    <t>Admin &gt; People &gt; Student &gt; Create New (client-side SPA nav - no distinct URL)</t>
  </si>
  <si>
    <t>1. Navigate to People &gt; Student &gt; Create New.
2. Fill First Name, Last Name, Email Address.
3. Select a Test Type (Exam Type) from the dropdown - options include PTE, PTE Core, IELTS Academic &amp; General, OET (5 sub-variants), TOEFL, IELTS Academic, IELTS General, TOEIC, CELPIP General, CELPIP General LS, GRE, SAT.
4. Select a Package from the dropdown, populated based on the chosen Test Type (for PTE Core: Free, Express $69.00, Express+, Bronze, Silver, Gold).
5. Select a Time Zone.
6. Enter Password and Retype Password.
7. Click Create.</t>
  </si>
  <si>
    <t>Fill in the student's details, pick a Test Type and Package, and click Create. A new student account is created with that package already active, and the student can log in right away with the password that was set.</t>
  </si>
  <si>
    <t>A new Student record exists with the chosen Package already assigned (Status: New) and can log in immediately with the set password.</t>
  </si>
  <si>
    <t>TC-ADM-032</t>
  </si>
  <si>
    <t>Verify that Teacher list loads correctly</t>
  </si>
  <si>
    <t>Verify that the Teacher list loads correctly and shows the existing teacher accounts.</t>
  </si>
  <si>
    <t>Admin Setup - Users (Teacher Management)</t>
  </si>
  <si>
    <t>Admin &gt; People &gt; Teacher (client-side SPA nav - no distinct URL)</t>
  </si>
  <si>
    <t>1. Navigate to People &gt; Teacher.
2. Confirm the Active / Suspend tabs are present.
3. Confirm the Teacher list loads with a Search box.</t>
  </si>
  <si>
    <t>The Teacher list loads and shows the existing teacher accounts.</t>
  </si>
  <si>
    <t>TC-ADM-033</t>
  </si>
  <si>
    <t>Verify that Student's login history is viewable</t>
  </si>
  <si>
    <t>Verify that clicking View Login History opens the student's login history panel.</t>
  </si>
  <si>
    <t>Admin Setup - Users (Student Detail actions)</t>
  </si>
  <si>
    <t>Student Detail &gt; View Login History (client-side SPA nav - no distinct URL)</t>
  </si>
  <si>
    <t>1. From the student record, click View Login History.</t>
  </si>
  <si>
    <t>Clicking View Login History opens a panel for the student (exact fields shown to be confirmed on first run).</t>
  </si>
  <si>
    <t>TC-ADM-034</t>
  </si>
  <si>
    <t>Verify that Student's additional package details are viewable</t>
  </si>
  <si>
    <t>Verify that clicking View Additional Package Detail opens a panel separate from the regular Package Detail.</t>
  </si>
  <si>
    <t>Student Detail &gt; View Additional Package Detail (client-side SPA nav - no distinct URL)</t>
  </si>
  <si>
    <t>1. From the student record, click View Additional Package Detail.</t>
  </si>
  <si>
    <t>Clicking View Additional Package Detail opens a panel, separate from the regular Package Detail.</t>
  </si>
  <si>
    <t>TC-ADM-035</t>
  </si>
  <si>
    <t>Verify that Student's Share and Earn details are viewable</t>
  </si>
  <si>
    <t>Verify that clicking Share and Earn opens the student's referral/rewards panel.</t>
  </si>
  <si>
    <t>Student Detail &gt; Share and Earn (client-side SPA nav - no distinct URL)</t>
  </si>
  <si>
    <t>1. From the student record, click Share and Earn.</t>
  </si>
  <si>
    <t>Clicking Share and Earn opens the referral/rewards panel for the student.</t>
  </si>
  <si>
    <t>TC-ADM-036</t>
  </si>
  <si>
    <t>Verify that Student's notes are viewable</t>
  </si>
  <si>
    <t>Verify that clicking View Notes opens the student's notes panel.</t>
  </si>
  <si>
    <t>Student Detail &gt; View Notes (client-side SPA nav - no distinct URL)</t>
  </si>
  <si>
    <t>1. From the student record, click View Notes.</t>
  </si>
  <si>
    <t>Clicking View Notes opens the notes panel for the student.</t>
  </si>
  <si>
    <t>TC-ADM-037</t>
  </si>
  <si>
    <t>Verify that Student's survey results are viewable</t>
  </si>
  <si>
    <t>Verify that clicking View Survey opens the student's survey results panel.</t>
  </si>
  <si>
    <t>Student Detail &gt; View Survey (client-side SPA nav - no distinct URL)</t>
  </si>
  <si>
    <t>1. From the student record, click View Survey.</t>
  </si>
  <si>
    <t>Clicking View Survey opens the survey panel for the student.</t>
  </si>
  <si>
    <t>TC-ADM-038</t>
  </si>
  <si>
    <t>Verify that Student's consultation record is viewable</t>
  </si>
  <si>
    <t>Verify that clicking Student Consultation opens the student's consultation record panel.</t>
  </si>
  <si>
    <t>Student Detail &gt; Student Consultation (client-side SPA nav - no distinct URL)</t>
  </si>
  <si>
    <t>1. From the student record, click Student Consultation.</t>
  </si>
  <si>
    <t>Clicking Student Consultation opens the consultation panel for the student.</t>
  </si>
  <si>
    <t>TC-ADM-039</t>
  </si>
  <si>
    <t>Verify that Admin resets a student's password</t>
  </si>
  <si>
    <t>Verify that an admin can reset a student's password directly, separate from the student's own self-service reset.</t>
  </si>
  <si>
    <t>Admin Setup - Users (Admin-triggered Reset Password)</t>
  </si>
  <si>
    <t>TC-ADM-007 completed (student record open). Use a disposable/QA test student only.</t>
  </si>
  <si>
    <t>Student Detail &gt; Reset Password (client-side SPA nav - no distinct URL)</t>
  </si>
  <si>
    <t>1. From the student record, click Reset Password.
2. Observe the confirmation/effect.</t>
  </si>
  <si>
    <t>Admin can reset the student's password directly - separate from the student's own self-service reset.</t>
  </si>
  <si>
    <t>TC-ADM-040</t>
  </si>
  <si>
    <t>Verify that Admin deletes a student account (destructive)</t>
  </si>
  <si>
    <t>Verify that an admin can permanently delete a student account - to be run only on a disposable test account, never a shared or real one.</t>
  </si>
  <si>
    <t>Admin Setup - Users (Destructive - Delete Student)</t>
  </si>
  <si>
    <t>A disposable/QA-created student test account (NOT the shared reference student).</t>
  </si>
  <si>
    <t>Student Detail &gt; Delete Student (client-side SPA nav - no distinct URL)</t>
  </si>
  <si>
    <t>1. Create a throwaway student via People &gt; Student &gt; Create New (or Student-side Registration).
2. Open its Student Detail record.
3. Click Delete Student.
4. Confirm the action if prompted.</t>
  </si>
  <si>
    <t>The student record is permanently deleted. Only do this on a disposable test account created for this purpose - never on a shared or real student account.</t>
  </si>
  <si>
    <t>The student account no longer exists / is marked deleted.</t>
  </si>
  <si>
    <t>TC-ADM-041</t>
  </si>
  <si>
    <t>Verify that Admin creates a new teacher account</t>
  </si>
  <si>
    <t>Verify that an admin can create a new teacher account by filling in their details and clicking Create, noting the first click may silently do nothing so the Teacher list should be checked to confirm the account was actually created.</t>
  </si>
  <si>
    <t>Admin Setup - Users (Create Teacher)</t>
  </si>
  <si>
    <t>Example used and CONFIRMED LIVE: First Name "E2E", Last Name "Teacher0907", Email "e2e.teacher.260907@mailinator.com", Time Zone "(UTC+10:00) Canberra, Melbourne, Sydney", Role Name "Teacher", Exam Type Code "PTE Core", User Name "e2e.teacher.260907", Password/Retype Password "Temp@1234".</t>
  </si>
  <si>
    <t>Admin &gt; People &gt; Teacher &gt; "+" (appended after the last row of the Teachers grid, below pagination - NOT a "Create New" nav item the way Student has; client-side SPA nav, no distinct URL)</t>
  </si>
  <si>
    <t>1. Navigate to People &gt; Teacher.
2. Scroll to the bottom of the Teachers grid past the pagination controls and click the "+" button to reveal the Create Teacher form.
3. Fill First Name, Last Name, Email Address.
4. Select a Time Zone.
5. Check a Role Name (Teacher and/or Duty Tutor) - selecting "Teacher" reveals an additional "Tutor Level" dropdown (defaults to "Tutor").
6. Optionally check "Using Zoom Meeting" under Online Meeting.
7. Under Teacher Classification &gt; Exam Type Code, check one or more exam types (PTE, PTE Core, IELTS Academic &amp; General, TOEFL, 5 OET sub-variants, IELTS Academic, IELTS General, TOEIC, CELPIP General, CELPIP General LS, GRE, SAT) - checking certain types (e.g. PTE Core) reveals nested sub-checkboxes (Study Plan, Pre-Test Strategy Session, Post-Test Consultation).
8. Fill Account &gt; User Name, Password, Retype Password.
9. Click Create.</t>
  </si>
  <si>
    <t>Fill in the teacher's details and click Create. Known issue: the first click may silently do nothing - click Create again and check the Teacher list to confirm the account was actually created.</t>
  </si>
  <si>
    <t>A new Teacher record exists with the chosen Exam Type Code classification and Role Name, and can log in immediately with the set password. May require clicking Create twice due to the first-click defect above - do not assume failure from an unchanged screen without checking the grid.</t>
  </si>
  <si>
    <t>TC-ADM-042</t>
  </si>
  <si>
    <t>Verify that Teacher and student are linked by exam type, not directly</t>
  </si>
  <si>
    <t>Verify that teachers and students are linked only through exam type (Teacher Classification / Test Type-Package), not through any direct one-to-one assignment in Admin.</t>
  </si>
  <si>
    <t>Admin/Teacher/Student</t>
  </si>
  <si>
    <t>Admin Setup - Users (Teacher/Student course linkage)</t>
  </si>
  <si>
    <t>TC-ADM-031 (Create Student) and TC-ADM-041 (Create Teacher) completed, both classified under the same exam type (e.g. PTE Core).</t>
  </si>
  <si>
    <t>e2e.teacher.260907@mailinator.com (PTE Core) and e2e.student.260907@mailinator.com (PTE Core / PTE Core Silver) - CONFIRMED LIVE this session.</t>
  </si>
  <si>
    <t>N/A (a cross-cutting verification, not a single screen)</t>
  </si>
  <si>
    <t>1. Create (or identify) a Teacher classified under a given Exam Type Code (e.g. PTE Core).
2. Create (or identify) a Student whose Test Type/Package falls under that same Exam Type (e.g. PTE Core Silver).
3. Log in as the Teacher and open the Assessment queue / Mock Test Assessment dashboard tile.
4. Compare the counts/queue shown against those of another, unrelated teacher already classified under the same exam type.</t>
  </si>
  <si>
    <t>There is no direct 'assign this teacher to this student' setting anywhere in Admin. A teacher is linked to a course only through their Exam Type classification, and a student through their Test Type/Package - so any teacher of that exam type can see and grade that student's work.</t>
  </si>
  <si>
    <t>N/A - informational/architectural verification.</t>
  </si>
  <si>
    <t>TC-TCH-001</t>
  </si>
  <si>
    <t>Verify that Teacher logs in with valid credentials</t>
  </si>
  <si>
    <t>Verify that a teacher can log in with valid credentials and is taken to Teacher Home showing the Writing/Speaking/Mock Test counts and the Scheduler.</t>
  </si>
  <si>
    <t>Valid Teacher credentials (confirmed test account). If another role is currently authenticated in the same browser profile, log out first - confirmed live this session: the shared Azure AD B2C session does NOT silently switch roles.</t>
  </si>
  <si>
    <t>Username = nacedos274@slotbeer.com; Password = Temp@1234</t>
  </si>
  <si>
    <t>1. Navigate to the Account/Login URL (log out of any other role first).
2. Enter the Teacher credentials.
3. Click Login/Sign In.</t>
  </si>
  <si>
    <t>Teacher logs in successfully and lands on Teacher Home, showing the Writing/Speaking/Mock Test counts and the Scheduler.</t>
  </si>
  <si>
    <t>An authenticated Teacher session exists for subsequent Teacher test cases.</t>
  </si>
  <si>
    <t>TC-TCH-002</t>
  </si>
  <si>
    <t>Verify that Teacher login fails with wrong credentials</t>
  </si>
  <si>
    <t>Verify that logging in with the wrong credentials is rejected with an error message and keeps the teacher on the login page.</t>
  </si>
  <si>
    <t>Username = nacedos274@slotbeer.com; Password = WrongPass!1 (deliberately incorrect)</t>
  </si>
  <si>
    <t>1. Navigate to the Account/Login URL.
2. Enter the Teacher username with an incorrect password.
3. Click Login/Sign In.</t>
  </si>
  <si>
    <t>Login is rejected with an error message, and the teacher stays on the login page.</t>
  </si>
  <si>
    <t>TC-TCH-003</t>
  </si>
  <si>
    <t>Verify that Teacher logs out successfully</t>
  </si>
  <si>
    <t>Verify that logging out actually ends the teacher's session, requiring login again to return to Teacher Home.</t>
  </si>
  <si>
    <t>Authenticated as Teacher (TC-TCH-001 completed).</t>
  </si>
  <si>
    <t>1. From Teacher Home, open the account menu (shows nacedos274@slotbeer.com) and click Logout.
2. Attempt to navigate directly back to /Teacher/Home.</t>
  </si>
  <si>
    <t>The teacher is logged out. Returning to Teacher Home requires logging in again.</t>
  </si>
  <si>
    <t>TC-TCH-004</t>
  </si>
  <si>
    <t>Verify that Teacher session is not lost when switching apps</t>
  </si>
  <si>
    <t>Verify that a teacher's session survives moving to the Student site, redirecting back to Teacher Home rather than logging them out or switching roles.</t>
  </si>
  <si>
    <t>Authenticated as Teacher without logging out.</t>
  </si>
  <si>
    <t>https://azdopl-rc-main.e2language.com/ (confirmed live this session)</t>
  </si>
  <si>
    <t>1. While authenticated as Teacher, navigate directly to the Student app host without using Logout first.
2. Observe the resulting page.</t>
  </si>
  <si>
    <t>Moving to the Student site while logged in as Teacher redirects back to Teacher Home, instead of logging the teacher out or switching roles.</t>
  </si>
  <si>
    <t>Original Teacher session remains active.</t>
  </si>
  <si>
    <t>TC-TCH-005</t>
  </si>
  <si>
    <t>Verify that Teacher Home shows workload counts</t>
  </si>
  <si>
    <t>Verify that Teacher Home's Writing/Speaking/Mock Test Assessment tiles each show a real number and the Scheduler loads without errors.</t>
  </si>
  <si>
    <t>Teacher Dashboard</t>
  </si>
  <si>
    <t>Authenticated as Teacher (TC-TCH-001).</t>
  </si>
  <si>
    <t>1. Log in as Teacher.
2. Read the Writing, Speaking, and Mock Test Assessment tile counts on Teacher Home.
3. Confirm the Scheduler panel renders (states observed live: either a schedule or 'There is no schedule right now...').</t>
  </si>
  <si>
    <t>The Writing, Speaking, and Mock Test Assessment tiles each show a number, and the Scheduler loads without errors.</t>
  </si>
  <si>
    <t>TC-TCH-006</t>
  </si>
  <si>
    <t>Verify that Mock Test list doesn't match dashboard count (known issue)</t>
  </si>
  <si>
    <t>Verify whether the Mock Test list still shows 'No results found' despite the dashboard tile showing a count above zero - a known issue kept as a case to catch when it's fixed.</t>
  </si>
  <si>
    <t>Authenticated as Teacher; Mock Test Assessment tile shows a non-zero pending count.</t>
  </si>
  <si>
    <t>1. Note the Mock Test Assessment tile count.
2. Click 'View Details' under Mock Test Assessment.
3. Observe the resulting list view's default Exam Type Code filter and result count.</t>
  </si>
  <si>
    <t>Known issue: the Mock Test list shows 'No results found' even though the dashboard tile shows a count above zero. Use this case to check whether it's been fixed.</t>
  </si>
  <si>
    <t>TC-TCH-007</t>
  </si>
  <si>
    <t>Verify that Scheduler calendar loads correctly</t>
  </si>
  <si>
    <t>Verify that the Scheduler calendar loads with month/week/day views and working navigation controls.</t>
  </si>
  <si>
    <t>Teacher Dashboard - Scheduler</t>
  </si>
  <si>
    <t>Authenticated as Teacher.</t>
  </si>
  <si>
    <t>Teacher &gt; Scheduler (client-side SPA nav - no distinct URL)</t>
  </si>
  <si>
    <t>1. Navigate to Scheduler.
2. Confirm the calendar renders with month/week/day view toggles.
3. Confirm any live scheduled appointments render (observed live example: a real 1:1 tutoring appointment on Sept 7 2026, 'Jeshika Teacher - PTE Aca...').</t>
  </si>
  <si>
    <t>The Scheduler shows a full calendar with month/week/day views and navigation controls.</t>
  </si>
  <si>
    <t>TC-TCH-008</t>
  </si>
  <si>
    <t>Verify that Teacher grades a Writing submission</t>
  </si>
  <si>
    <t>Verify that a teacher can grade a Writing submission, with the score, comment, and recommendation saved and the submission leaving the pending Writing queue.</t>
  </si>
  <si>
    <t>Teacher Workflow - Grading (Writing)</t>
  </si>
  <si>
    <t>Authenticated as Teacher. At least one Writing assessment pending (confirmed default backlog exists).</t>
  </si>
  <si>
    <t>https://azdopl-rc-adminapp.e2language.com/Teacher/Home -&gt; Writing queue</t>
  </si>
  <si>
    <t>1. From Teacher Home, click the Writing tile's 'View Details'.
2. Open a pending Writing submission.
3. Review Student Details, Question Prompt, and Answer Text; note the auto-computed Word Count.
4. Optionally record Audio Feedback.
5. Enter a Comment and click Save Comment.
6. In the Supervisor Score panel, enter scores/comments for Task Achievement (including its 5 sub-criteria - Purpose, Tone, Bullet points, Format, Length, each a free-text 'Action' box, not a selector), Coherence &amp; Cohesion, Lexical Resource, and Grammatical Range &amp; Accuracy.
7. Set the overall Score field and the Recommendation dropdown (High/Medium/Low).
8. Click Submit Score.</t>
  </si>
  <si>
    <t>The score, comment, and recommendation are saved, and the submission leaves the pending Writing queue.</t>
  </si>
  <si>
    <t>Submission is graded; feeds the student-visible feedback in TC-E2E-005.</t>
  </si>
  <si>
    <t>TC-TCH-009</t>
  </si>
  <si>
    <t>Verify that Word count is calculated automatically</t>
  </si>
  <si>
    <t>Verify that the Word Count field automatically shows an accurate count of the student's answer with no manual entry needed.</t>
  </si>
  <si>
    <t>A pending Writing submission's marking screen is open.</t>
  </si>
  <si>
    <t>Teacher Writing marking screen</t>
  </si>
  <si>
    <t>1. Open a pending Writing submission.
2. Read the auto-computed Word Count field only (no other action).</t>
  </si>
  <si>
    <t>The Word Count field shows an accurate, automatic count of the student's answer - no manual entry needed.</t>
  </si>
  <si>
    <t>TC-TCH-010</t>
  </si>
  <si>
    <t>Verify that Teacher attaches audio feedback to a submission</t>
  </si>
  <si>
    <t>Verify that a teacher can attach an audio feedback clip to a submission and play it back.</t>
  </si>
  <si>
    <t>1. Open a pending Writing submission.
2. Click the Audio Feedback record control and record a short clip.
3. Save.</t>
  </si>
  <si>
    <t>An audio feedback clip is attached to the submission and can be played back.</t>
  </si>
  <si>
    <t>TC-TCH-011</t>
  </si>
  <si>
    <t>Verify that Teacher saves a comment separately from the score</t>
  </si>
  <si>
    <t>Verify that saving a comment works independently of submitting a score, as two separate actions.</t>
  </si>
  <si>
    <t>1. Enter text in the Comment box.
2. Click Save Comment (without touching Score/Recommendation).</t>
  </si>
  <si>
    <t>Saving a comment works independently of submitting a score - they are two separate actions.</t>
  </si>
  <si>
    <t>TC-TCH-012</t>
  </si>
  <si>
    <t>Verify that Teacher grades a Speaking submission</t>
  </si>
  <si>
    <t>Verify that a teacher can grade a Speaking submission, with the score, comment, and recommendation saved and the submission leaving the pending Speaking queue.</t>
  </si>
  <si>
    <t>Teacher Workflow - Grading (Speaking)</t>
  </si>
  <si>
    <t>Authenticated as Teacher. At least one Speaking assessment pending (confirmed default backlog exists).</t>
  </si>
  <si>
    <t>https://azdopl-rc-adminapp.e2language.com/Teacher/Home -&gt; Speaking queue</t>
  </si>
  <si>
    <t>1. From Teacher Home, click the Speaking tile's 'View Details'.
2. Open a pending Speaking submission.
3. Play the 'Student Submission and Original Text' audio and the 'Sample Answer' reference audio (no text answer box for this task type).
4. Enter a Comment and click Save Comment.
5. In the Supervisor Score panel, enter scores/comments for Fluency &amp; Coherence, Lexical Resource, Grammatical Range &amp; Accuracy, and Pronunciation.
6. Set the overall Score and Recommendation (High/Medium/Low).
7. Click Submit Score.</t>
  </si>
  <si>
    <t>The score, comment, and recommendation are saved, and the submission leaves the pending Speaking queue.</t>
  </si>
  <si>
    <t>Submission is graded.</t>
  </si>
  <si>
    <t>TC-TCH-013</t>
  </si>
  <si>
    <t>Verify that Sample answer audio plays correctly</t>
  </si>
  <si>
    <t>Verify that the reference Sample Answer audio plays correctly and is kept separate from the student's own submission audio.</t>
  </si>
  <si>
    <t>A pending Speaking submission's marking screen is open.</t>
  </si>
  <si>
    <t>Teacher Speaking marking screen</t>
  </si>
  <si>
    <t>1. Open a pending Speaking submission.
2. Play the 'Sample Answer' reference audio player only (no other action).</t>
  </si>
  <si>
    <t>The reference Sample Answer audio plays correctly and is separate from the student's own submission audio.</t>
  </si>
  <si>
    <t>TC-TCH-014</t>
  </si>
  <si>
    <t>Verify that Cancel does not save any grading changes</t>
  </si>
  <si>
    <t>Verify that clicking Cancel discards any entered score or comment without saving anything.</t>
  </si>
  <si>
    <t>Teacher Workflow - Grading (buttons)</t>
  </si>
  <si>
    <t>A pending submission's marking screen is open with an unsaved Comment/Score entered.</t>
  </si>
  <si>
    <t>Teacher marking screen (Writing or Speaking)</t>
  </si>
  <si>
    <t>1. Enter a Comment and a partial Score.
2. Click Cancel (without Save/Submit).
3. Reopen the same submission.</t>
  </si>
  <si>
    <t>Clicking Cancel discards any entered score or comment - nothing is saved.</t>
  </si>
  <si>
    <t>TC-TCH-015</t>
  </si>
  <si>
    <t>Verify that Reset clears a graded submission for resubmission</t>
  </si>
  <si>
    <t>Verify that Reset warns before clearing a graded submission, only actually clearing the marking (letting the student resubmit) once confirmed - clicking No or Cancel changes nothing.</t>
  </si>
  <si>
    <t>A pending submission's marking screen is open with an unsaved Score entered (e.g. Score=7).</t>
  </si>
  <si>
    <t>1. Enter a Comment and a partial Score.
2. Click Reset.
3. Read the confirmation dialog text.
4. Click No/Cancel to abort WITHOUT completing the reset (this action is destructive to real submission data - only click Yes on a disposable/QA submission, never on shared backlog data).</t>
  </si>
  <si>
    <t>Reset shows a warning first, saying any saved marking will be deleted. Confirming clears the marking and lets the student resubmit; clicking No or Cancel changes nothing.</t>
  </si>
  <si>
    <t>TC-TCH-016</t>
  </si>
  <si>
    <t>Verify that Archiving a submission requires a note</t>
  </si>
  <si>
    <t>Verify that Manual Archive requires an Archive Note to be entered before it can be completed.</t>
  </si>
  <si>
    <t>A pending submission's marking screen is open.</t>
  </si>
  <si>
    <t>1. Open a pending submission.
2. Click Manual Archive.
3. Observe the resulting modal.
4. Enter archive note text (required) or click Cancel to abort without archiving (only complete this on a disposable/QA submission, never on shared backlog data).</t>
  </si>
  <si>
    <t>Manual Archive requires an Archive Note to be entered before it can be completed.</t>
  </si>
  <si>
    <t>TC-TCH-017</t>
  </si>
  <si>
    <t>Verify that Teacher's Student view is read-only for core details</t>
  </si>
  <si>
    <t>Verify that a Teacher's Student view exposes only 4 action buttons (Progress Note, Login History, Package Detail, Consultation) and cannot edit the student's core profile fields.</t>
  </si>
  <si>
    <t>Teacher Workflow - Student Access (RBAC)</t>
  </si>
  <si>
    <t>Authenticated as Teacher. A known student exists (e.g. kadaj29422@prorises.com).</t>
  </si>
  <si>
    <t>Teacher &gt; Student (CORRECTED this session: 'Student' is itself the Search Student page - it is a leaf nav item, not a parent with its own 'Search' child, unlike the Mini Mock Test section)</t>
  </si>
  <si>
    <t>1. Click 'Student' in the left nav.
2. Enter the student's email/Student ID and click Search.
3. Open the matching Student ID to load the detail view.
4. Enumerate the available actions.
5. Confirm every profile field (including the Test Type dropdown) is greyed out/non-editable and no 'Add Package' action exists anywhere on this page.</t>
  </si>
  <si>
    <t>A Teacher sees 4 action buttons (Progress Note, Login History, Package Detail, Consultation) but cannot edit the student's core profile fields.</t>
  </si>
  <si>
    <t>TC-TCH-018</t>
  </si>
  <si>
    <t>Verify that Teacher adds a progress note for a student</t>
  </si>
  <si>
    <t>Verify that a teacher can view a student's existing progress notes and add a new one.</t>
  </si>
  <si>
    <t>TC-TCH-017 context (student detail view open).</t>
  </si>
  <si>
    <t>Student Detail &gt; View Progress Note (client-side SPA nav - no distinct URL)</t>
  </si>
  <si>
    <t>1. Click View Progress Note.
2. Observe the panel and grid.
3. Note the 'Add Progress Note' button.</t>
  </si>
  <si>
    <t>Teacher can view existing progress notes for the student and add a new one.</t>
  </si>
  <si>
    <t>TC-TCH-019</t>
  </si>
  <si>
    <t>Verify that Login History shows a login streak, not a login list</t>
  </si>
  <si>
    <t>Verify that Login History opens a single Login Streak number for the student, not a list of past logins.</t>
  </si>
  <si>
    <t>1. Click View Login History.</t>
  </si>
  <si>
    <t>This button opens a single 'Login Streak' number for the student, not a list of past logins.</t>
  </si>
  <si>
    <t>TC-TCH-020</t>
  </si>
  <si>
    <t>Verify that Teacher's Package Detail view is fully read-only</t>
  </si>
  <si>
    <t>Verify that a Teacher's Package Detail view shows the same info as Admin's but with no Add Package button - view only.</t>
  </si>
  <si>
    <t>1. Click View Package Detail.
2. Compare the columns/controls shown against the Admin-side equivalent (TC-ADM-009).</t>
  </si>
  <si>
    <t>Teacher sees the same package info as Admin, but with no Add Package button - view only.</t>
  </si>
  <si>
    <t>TC-TCH-021</t>
  </si>
  <si>
    <t>Verify that Teacher assigns a consultation for a student</t>
  </si>
  <si>
    <t>Verify that a teacher can view a student's existing consultations and assign a new one.</t>
  </si>
  <si>
    <t>Student Detail &gt; View Consultation (client-side SPA nav - no distinct URL)</t>
  </si>
  <si>
    <t>1. Click View Consultation.
2. Observe the panel and grid.
3. Note the 'Assign Consultation' button.</t>
  </si>
  <si>
    <t>Teacher can view existing consultations for the student and assign a new one.</t>
  </si>
  <si>
    <t>TC-TCH-022</t>
  </si>
  <si>
    <t>Verify that Teacher views the Live Class task list</t>
  </si>
  <si>
    <t>Verify that the Live Class task list shows each task with an On/Off status and a working link to open it.</t>
  </si>
  <si>
    <t>Teacher Workflow - Live Class</t>
  </si>
  <si>
    <t>Teacher &gt; Live Class Assessment (page title: 'Live Class Task'; client-side SPA nav - no distinct URL)</t>
  </si>
  <si>
    <t>1. Navigate to Live Class Assessment.
2. Confirm the Exam Type Code filter (defaults to ALL) and the grid (Name / Exam Type Code / Action / Status columns).
3. Toggle a task's On/Off switch.
4. Click 'View Url' on a task to retrieve its deep link.</t>
  </si>
  <si>
    <t>The Live Class list shows each task with an On/Off status and a link to open it.</t>
  </si>
  <si>
    <t>TC-TCH-023</t>
  </si>
  <si>
    <t>Verify that Teacher submits an invoice</t>
  </si>
  <si>
    <t>Verify that a teacher can submit an invoice, with the Submit Invoice form pre-filling their details and letting them pick a billing period to generate it.</t>
  </si>
  <si>
    <t>Teacher Workflow - Invoice</t>
  </si>
  <si>
    <t>Billing Period = any listed option; GST Apply = unchecked (default).</t>
  </si>
  <si>
    <t>Teacher &gt; Invoice &gt; Submit Invoice (client-side SPA nav - no distinct URL)</t>
  </si>
  <si>
    <t>1. Navigate to Invoice &gt; Submit Invoice.
2. Confirm First Name/Last Name/Level/Email Address are pre-filled and read-only from the logged-in account.
3. Optionally enter an ABN.
4. Select a Billing Period (required).
5. Optionally check GST Apply.
6. Click Generate.</t>
  </si>
  <si>
    <t>The Submit Invoice form shows the teacher's pre-filled details and lets them pick a billing period and generate an invoice.</t>
  </si>
  <si>
    <t>TC-TCH-024</t>
  </si>
  <si>
    <t>Verify that Teacher views invoice history by billing period</t>
  </si>
  <si>
    <t>Verify that Invoice History works as a billing-period-plus-teacher filter returning the matching invoice, rather than a plain list of past invoices.</t>
  </si>
  <si>
    <t>Billing Period = any listed option.</t>
  </si>
  <si>
    <t>Teacher &gt; Invoice &gt; Invoice History (client-side SPA nav - no distinct URL)</t>
  </si>
  <si>
    <t>1. Navigate to Invoice &gt; Invoice History.
2. Select a Billing Period.
3. Confirm the Teacher field is locked to the logged-in account.
4. Click View Invoice.</t>
  </si>
  <si>
    <t>Invoice History is a filter (billing period + teacher) that shows the matching invoice - it is not a plain list of past invoices.</t>
  </si>
  <si>
    <t>TC-TCH-025</t>
  </si>
  <si>
    <t>Verify that Teaching Summary report loads correctly</t>
  </si>
  <si>
    <t>Verify that the Teaching Summary report loads defaulting to the current month, and 'View Data as Table' shows a table of activity.</t>
  </si>
  <si>
    <t>Teacher Workflow - Reporting</t>
  </si>
  <si>
    <t>Start Date / End Date defaulting to the current calendar month.</t>
  </si>
  <si>
    <t>Teacher &gt; Teaching Summary (client-side SPA nav - no distinct URL)</t>
  </si>
  <si>
    <t>1. Navigate to Teaching Summary.
2. Confirm Start Date and End Date default to the 1st and last day of the current month.
3. Click 'View Data as Table'.</t>
  </si>
  <si>
    <t>The report defaults to the current month, and clicking 'View Data as Table' shows a table of activity.</t>
  </si>
  <si>
    <t>TC-TCH-026</t>
  </si>
  <si>
    <t>Verify that Mini Mock Test search sections work correctly</t>
  </si>
  <si>
    <t>Verify that both the Assessment and Appointment search sections under Mini Mock Test load correctly with their own filters and results columns.</t>
  </si>
  <si>
    <t>Teacher Workflow - Assessment Queues</t>
  </si>
  <si>
    <t>Teacher &gt; Mini Mock Test &gt; Assessment &gt; Search; Teacher &gt; Mini Mock Test &gt; Appointment &gt; Search; Teacher &gt; Speaking Intensive (all client-side SPA nav - no distinct URLs)</t>
  </si>
  <si>
    <t>1. Navigate to Mini Mock Test - confirm it expands to two sub-sections, Assessment (with its own Search) and Appointment (with its own Search).
2. Open Mini Mock Test &gt; Assessment &gt; Search and note its filter fields.
3. Navigate to Speaking Intensive and note its filter fields.
4. Confirm these are structurally distinct from the main combined Assessment queue (TC-TCH-006/008/012).</t>
  </si>
  <si>
    <t>Both the Assessment and Appointment search sections under Mini Mock Test load with their own filters and results columns.</t>
  </si>
  <si>
    <t>TC-TCH-027</t>
  </si>
  <si>
    <t>Verify that Teacher's Group Class view has no create option</t>
  </si>
  <si>
    <t>Verify that a Teacher's Group Class view lets them see the list but does not expose a create-new-group-class option.</t>
  </si>
  <si>
    <t>Teacher Workflow - Group Class (RBAC)</t>
  </si>
  <si>
    <t>Teacher &gt; Group Class (client-side SPA nav - no distinct URL)</t>
  </si>
  <si>
    <t>1. Navigate to Group Class.
2. Confirm the Active/Archived tabs and the grid columns.
3. Confirm whether a '+'/Add control is present.</t>
  </si>
  <si>
    <t>Teacher can see the Group Class list but cannot create a new group class from this view.</t>
  </si>
  <si>
    <t>TC-TCH-028</t>
  </si>
  <si>
    <t>Verify that Teacher searches for a student</t>
  </si>
  <si>
    <t>Verify that a teacher can search for a student by email and find the matching record.</t>
  </si>
  <si>
    <t>Teacher Workflow - Search</t>
  </si>
  <si>
    <t>A known student email, e.g. kadaj29422@prorises.com.</t>
  </si>
  <si>
    <t>Teacher &gt; Student (CORRECTED this session: 'Student' itself is the Search Student page - client-side SPA nav, no distinct URL)</t>
  </si>
  <si>
    <t>1. Click 'Student' in the left nav.
2. Search by the known student's email.</t>
  </si>
  <si>
    <t>Searching by email finds the matching student record.</t>
  </si>
  <si>
    <t>TC-E2E-002</t>
  </si>
  <si>
    <t>Verify that Teacher confirms the student's package (E2E step 2 of 6)</t>
  </si>
  <si>
    <t>Verify that the package a Teacher sees for a student matches what Admin assigned in the previous step, as leg 2 of the 6-step cross-role E2E flow.</t>
  </si>
  <si>
    <t>Cross-Role E2E Flow (leg 2 of 6)</t>
  </si>
  <si>
    <t>TC-E2E-001 completed. Teacher authenticated (TC-TCH-001).</t>
  </si>
  <si>
    <t>Teacher &gt; Student &gt; Search (exact URL PLACEHOLDER)</t>
  </si>
  <si>
    <t>1. Search for the same student.
2. Open View Package Detail from the Teacher's (read-only) student detail view.</t>
  </si>
  <si>
    <t>The package the Teacher sees matches what Admin assigned in the previous step.</t>
  </si>
  <si>
    <t>Cross-role data consistency confirmed. Feeds TC-E2E-003.</t>
  </si>
  <si>
    <t>TC-E2E-004</t>
  </si>
  <si>
    <t>Verify that Teacher grades the student's submission (E2E step 4 of 6)</t>
  </si>
  <si>
    <t>Verify that a teacher can grade the student's submission, saving the score and moving it from pending to graded, as leg 4 of the 6-step cross-role E2E flow.</t>
  </si>
  <si>
    <t>Cross-Role E2E Flow (leg 4 of 6)</t>
  </si>
  <si>
    <t>TC-E2E-003 completed; the new submission appears in the Teacher's queue.</t>
  </si>
  <si>
    <t>https://azdopl-rc-adminapp.e2language.com/Teacher/Home -&gt; Writing or Speaking queue</t>
  </si>
  <si>
    <t>1. Open the new submission (per TC-TCH-008 / TC-TCH-012 grading steps).
2. Complete the Supervisor Score panel.
3. Set the overall Score and Recommendation.
4. Click Submit Score.</t>
  </si>
  <si>
    <t>The score is saved, and the submission moves from pending to graded.</t>
  </si>
  <si>
    <t>A graded score/feedback record exists for the student. Feeds TC-E2E-005.</t>
  </si>
  <si>
    <t>TC-TCH-029</t>
  </si>
  <si>
    <t>Verify that Teacher requests a password reset email</t>
  </si>
  <si>
    <t>Verify that a teacher can request a password reset and a reset email is actually sent.</t>
  </si>
  <si>
    <t>Teacher account exists (nacedos274@slotbeer.com); no active session.</t>
  </si>
  <si>
    <t>https://azdopl-rc-adminapp.e2language.com/Account/Login (Forgot Password link expected here, per Azure AD B2C's standard password-reset user flow)</t>
  </si>
  <si>
    <t>1. On the login page, click the 'Did you forget your password? Click here' link (exact text CONFIRMED live during the Admin verification pass - Teacher shares the identical Azure AD B2C login screen, so the same link text applies; not re-clicked separately for Teacher this session).
2. Enter the Teacher's email address.
3. Submit the request.</t>
  </si>
  <si>
    <t>A password-reset email is sent to the teacher.</t>
  </si>
  <si>
    <t>TC-TCH-030</t>
  </si>
  <si>
    <t>Verify that Teacher resets password via email link</t>
  </si>
  <si>
    <t>Verify that a teacher can reset their password via the emailed link, after which the old password stops working.</t>
  </si>
  <si>
    <t>TC-TCH-029 completed; a reset email has been sent.</t>
  </si>
  <si>
    <t>New password meeting the app's password policy (PLACEHOLDER - not captured).</t>
  </si>
  <si>
    <t>Reset link URL (PLACEHOLDER - delivered via email)</t>
  </si>
  <si>
    <t>1. Open the password-reset email.
2. Click the reset link.
3. Enter and confirm a new password.
4. Submit.
5. Log in with the new password, then reset back to Temp@1234 to keep the shared test credential valid for other cases in this suite.</t>
  </si>
  <si>
    <t>The teacher can log in with the new password; the old password stops working.</t>
  </si>
  <si>
    <t>Password changed (reset back to the shared test credential afterward).</t>
  </si>
  <si>
    <t>TC-TCH-031</t>
  </si>
  <si>
    <t>Verify that Teacher updates their profile settings</t>
  </si>
  <si>
    <t>Verify that a teacher can update their profile settings and the changes are saved successfully.</t>
  </si>
  <si>
    <t>Account &amp; Security - Profile Settings</t>
  </si>
  <si>
    <t>Teacher &gt; User Profile (exact URL PLACEHOLDER)</t>
  </si>
  <si>
    <t>1. Open the account menu &gt; User Profile.
2. Review/edit profile fields (exact fields PLACEHOLDER - not captured; the 'User Profile' link was observed live in the Teacher account menu, its contents were not opened).
3. Save.</t>
  </si>
  <si>
    <t>Profile changes are saved successfully.</t>
  </si>
  <si>
    <t>Actual Result</t>
  </si>
  <si>
    <t>Remark</t>
  </si>
  <si>
    <t>TC-STU-001</t>
  </si>
  <si>
    <t>Verify that Student logs in with valid credentials</t>
  </si>
  <si>
    <t>Verify that a student can log in with valid credentials and is taken to the Student dashboard.</t>
  </si>
  <si>
    <t>Valid E2 Language Student test account/environment on a desktop browser (latest stable Chrome/Firefox/Safari/Edge). Reference account seen from the Teacher side: kadaj29422@prorises.com (package 'PTE Core Silver') - password PLACEHOLDER, not captured; alternatively use a student created via TC-STU-007 (fresh Registration) with a known password.</t>
  </si>
  <si>
    <t>Username = kadaj29422@prorises.com or a freshly-registered student email; Password = PLACEHOLDER</t>
  </si>
  <si>
    <t>https://azdopl-rc-adminapp.e2language.com/Account/Login (shared Azure AD B2C login; resolves to the Student app at https://azdopl-rc-main.e2language.com once authenticated as a Student-scoped account)</t>
  </si>
  <si>
    <t>1. Navigate to the shared login URL (log out of any other role first).
2. Enter the Student credentials.
3. Click Login/Sign In.</t>
  </si>
  <si>
    <t>Student logs in successfully and lands on the Student dashboard.</t>
  </si>
  <si>
    <t>An authenticated Student session exists for subsequent Student test cases.</t>
  </si>
  <si>
    <t>Login succeeded and the student was taken to the Student Dashboard as expected.</t>
  </si>
  <si>
    <t>No issues found.</t>
  </si>
  <si>
    <t>TC-STU-002</t>
  </si>
  <si>
    <t>Verify that Student login fails with wrong credentials</t>
  </si>
  <si>
    <t>Verify that logging in with the wrong credentials is rejected with an error message and keeps the student on the login page.</t>
  </si>
  <si>
    <t>Username = a valid student email; Password = WrongPass!1 (deliberately incorrect)</t>
  </si>
  <si>
    <t>1. Navigate to the shared login URL.
2. Enter a valid student email with an incorrect password.
3. Click Login/Sign In.</t>
  </si>
  <si>
    <t>Login is rejected with an error message, and the student stays on the login page.</t>
  </si>
  <si>
    <t>A red "Wrong Email or Password" banner appeared and the student remained on the login page. No session was created.</t>
  </si>
  <si>
    <t>TC-STU-003</t>
  </si>
  <si>
    <t>Verify that Student logs out successfully</t>
  </si>
  <si>
    <t>Verify that logging out actually ends the student's session, requiring login again to reach the dashboard.</t>
  </si>
  <si>
    <t>Authenticated as Student (TC-STU-001 completed).</t>
  </si>
  <si>
    <t>1. From the Student dashboard, open the account menu and click Logout.
2. Attempt to navigate directly back to the Student dashboard.</t>
  </si>
  <si>
    <t>The student is logged out and must log in again to access the dashboard.</t>
  </si>
  <si>
    <t>Logout via the account menu ended the session correctly and returned to the login page.</t>
  </si>
  <si>
    <t>TC-STU-004</t>
  </si>
  <si>
    <t>Verify that Student session is not lost when switching apps</t>
  </si>
  <si>
    <t>Verify that a student's session survives moving to the Teacher or Admin site without being logged out or shown Teacher/Admin content.</t>
  </si>
  <si>
    <t>Authenticated as Student without logging out.</t>
  </si>
  <si>
    <t>https://azdopl-rc-adminapp.e2language.com/Teacher/Home (or the Admin host), while a Student session is active</t>
  </si>
  <si>
    <t>1. While authenticated as Student, navigate directly to the Teacher or Admin host without using Logout first.
2. Observe the resulting page.</t>
  </si>
  <si>
    <t>Moving to the Teacher or Admin site while logged in as Student should not log the student out or show Teacher/Admin content.</t>
  </si>
  <si>
    <t>Original Student session remains active.</t>
  </si>
  <si>
    <t>The browser was redirected back to the Student's own Dashboard instead of showing Admin content or logging the student out.</t>
  </si>
  <si>
    <t>No issues found. Confirms access is correctly scoped by role.</t>
  </si>
  <si>
    <t>TC-STU-005</t>
  </si>
  <si>
    <t>Verify that All dashboard navigation links work</t>
  </si>
  <si>
    <t>Verify that every menu item on the Student dashboard opens the correct page, with no dead links or errors.</t>
  </si>
  <si>
    <t>Student Dashboard</t>
  </si>
  <si>
    <t>Valid E2 Language Student test account/environment on a desktop browser (latest stable Chrome/Firefox/Safari/Edge).</t>
  </si>
  <si>
    <t>Exam context example: IELTS Academic (or whichever exam type the account is on).</t>
  </si>
  <si>
    <t>Student dashboard (exact route PLACEHOLDER - see Dashboard URLs sheet)</t>
  </si>
  <si>
    <t>1. Log in as a student.
2. Click through each navigation menu item for the student's exam context.
3. Confirm each destination page loads correctly.</t>
  </si>
  <si>
    <t>Every menu item on the Student dashboard opens the correct page - no dead links or errors.</t>
  </si>
  <si>
    <t>Checked Course Materials, Assessments, and Online Classes menus - all pages loaded correctly with no dead links or errors.</t>
  </si>
  <si>
    <t>No issues found. Note: the menu also includes Tutorials, Podcasts, and Help, which were not listed in the original test case - worth adding to the case for completeness.</t>
  </si>
  <si>
    <t>TC-STU-006</t>
  </si>
  <si>
    <t>Verify that New student completes onboarding</t>
  </si>
  <si>
    <t>Verify that a new free student can complete every onboarding task and see their score displayed correctly afterward.</t>
  </si>
  <si>
    <t>Student Workflow - Onboarding</t>
  </si>
  <si>
    <t>Valid E2 Language Student test account/environment on a desktop browser (latest stable Chrome/Firefox/Safari/Edge). New free student account.</t>
  </si>
  <si>
    <t>Student onboarding checklist (exact URL PLACEHOLDER)</t>
  </si>
  <si>
    <t>1. Log in as a new free student.
2. Open the onboarding checklist.
3. Complete each onboarding task.
4. Check the recent score/summary view.</t>
  </si>
  <si>
    <t>A new free student can submit all onboarding tasks, and their score is shown correctly afterward.</t>
  </si>
  <si>
    <t>Completed all 4 onboarding steps successfully. Landed on the Dashboard with a working "Getting Started" checklist (3 tasks) and a Study Pathway progress panel.</t>
  </si>
  <si>
    <t>TC-STU-007</t>
  </si>
  <si>
    <t>Verify that Student registers and pays successfully</t>
  </si>
  <si>
    <t>Verify that a student can register and pay successfully, with the new account created under the chosen package and landing on the dashboard.</t>
  </si>
  <si>
    <t>Student Workflow - Registration</t>
  </si>
  <si>
    <t>No existing account for the test email.</t>
  </si>
  <si>
    <t>Fresh unique email on the confirmed-safe @mailinator.com domain; examTypeCode=PTE, packageCode=PTE_PaidV2_02; card 1 / CVV 123 / any future expiry.</t>
  </si>
  <si>
    <t>https://azdopl-rc-registrationapp.e2language.com/Registration/SignUp?examTypeCode=PTE&amp;packageCode=PTE_PaidV2_1&amp;state=</t>
  </si>
  <si>
    <t>1. Navigate directly to the canonical registration deep link.
2. Complete the registration form (exact field list PLACEHOLDER - not itemized in findings; standard fields expected: name, email, password, confirm password).
3. Submit to reach the Payment Information page.
4. Select 'Credit/debit card' and click 'Pay with Card'.
5. On the Shopify-hosted checkout, enter card 1, CVV 123, any future expiry.
6. Complete checkout.</t>
  </si>
  <si>
    <t>Registration and payment both succeed; the new account is created with the chosen package and lands on the dashboard.</t>
  </si>
  <si>
    <t>A new paid PTE student account exists - usable as a precondition for downstream Upgrade / Extend / Switch Course / Add-on cases and for the E2E chain.</t>
  </si>
  <si>
    <t>The payment was completed sucessfully and the new account was created</t>
  </si>
  <si>
    <t>TC-STU-008</t>
  </si>
  <si>
    <t>Verify that Registration is blocked for disposable email domains</t>
  </si>
  <si>
    <t>Verify that registering with a blocked email domain is rejected, while the same registration with an allowed domain (mailinator.com) succeeds.</t>
  </si>
  <si>
    <t>Email on a blocked domain, e.g. name@mailinator.net (contrast: name@mailinator.com is allowed).</t>
  </si>
  <si>
    <t>1. Navigate to the registration deep link.
2. Enter an email on the mailinator.net domain.
3. Attempt to submit.</t>
  </si>
  <si>
    <t>Registering with a blocked email domain is rejected. The same registration with an allowed domain (mailinator.com) succeeds.</t>
  </si>
  <si>
    <t>Registering with a blocked email domain is rejected</t>
  </si>
  <si>
    <t>No issue fond</t>
  </si>
  <si>
    <t>TC-STU-009</t>
  </si>
  <si>
    <t>Verify that Registration payment is declined</t>
  </si>
  <si>
    <t>Verify that a declined registration payment shows a decline message, grants no package, and lets the student retry.</t>
  </si>
  <si>
    <t>Student Workflow - Payment</t>
  </si>
  <si>
    <t>Same as TC-STU-007 up through reaching the Payment Information page.</t>
  </si>
  <si>
    <t>Card 2, CVV 123, any future expiry.</t>
  </si>
  <si>
    <t>Shopify-hosted checkout (https://e2-staging-store.myshopify.com)</t>
  </si>
  <si>
    <t>1. Reach the Payment Information page.
2. Choose 'Credit/debit card'.
3. Enter card 2.
4. Submit.</t>
  </si>
  <si>
    <t>A declined card shows a decline message, no package is granted, and the student can retry.</t>
  </si>
  <si>
    <t>"There was an issue processing your payment. Try again or use a different payment method. " message dispalyed.</t>
  </si>
  <si>
    <t>TC-STU-010</t>
  </si>
  <si>
    <t>Verify that Registration payment fails at the gateway</t>
  </si>
  <si>
    <t>Verify that a gateway failure during registration payment shows an error clearly distinct from a plain decline, and grants no package.</t>
  </si>
  <si>
    <t>Card 3, CVV 123, any future expiry.</t>
  </si>
  <si>
    <t>1. Reach the Payment Information page.
2. Choose 'Credit/debit card'.
3. Fill the details and Enter card 3.
4. Submit.</t>
  </si>
  <si>
    <t>A gateway failure shows an error that is clearly different from a plain decline, and no package is granted.</t>
  </si>
  <si>
    <t>"There was an issue processing your payment. Try again or use a different payment method." message dispalyed</t>
  </si>
  <si>
    <t>TC-STU-011</t>
  </si>
  <si>
    <t>Verify that Card and PayPal payment options both appear</t>
  </si>
  <si>
    <t>Verify that both 'Pay with Card' and 'Pay with PayPal' buttons appear and are clickable on the Payment page.</t>
  </si>
  <si>
    <t xml:space="preserve">Any transaction flow that reaches the Payment Information page.
</t>
  </si>
  <si>
    <r>
      <rPr>
        <rFont val="Calibri"/>
        <color theme="1"/>
        <sz val="11.0"/>
      </rPr>
      <t xml:space="preserve">Payment Information page ( </t>
    </r>
    <r>
      <rPr>
        <rFont val="Calibri"/>
        <color rgb="FF1155CC"/>
        <sz val="11.0"/>
        <u/>
      </rPr>
      <t>https://azdopl-rc-registrationapp.e2language.com/Registration/SignUp?shopifyProductId=9275456356605&amp;discount=20</t>
    </r>
    <r>
      <rPr>
        <rFont val="Calibri"/>
        <color theme="1"/>
        <sz val="11.0"/>
      </rPr>
      <t xml:space="preserve"> )</t>
    </r>
  </si>
  <si>
    <t>1. Reach the Payment Information page via any transaction flow.
2. Confirm the 'Choose Payment Method' group shows both 'Credit/debit card' and 'PayPal'.
3. Confirm 'Pay with PayPal' is clickable.</t>
  </si>
  <si>
    <t>Both 'Pay with Card' and 'Pay with PayPal' buttons appear and are clickable on the Payment page.</t>
  </si>
  <si>
    <t>Both a Credit card option (with Visa/Mastercard/Amex icons) and a PayPal option were shown and could each be selected.</t>
  </si>
  <si>
    <t>No issues found. Bonus: the page also offers an Express checkout row (Shop Pay / PayPal / Google Pay) not mentioned in the original test case.</t>
  </si>
  <si>
    <t>TC-STU-012</t>
  </si>
  <si>
    <t>Verify that Free student switches course at no cost</t>
  </si>
  <si>
    <t>Verify that a free student can switch course at no cost and lands on the new course's dashboard.</t>
  </si>
  <si>
    <t>Switch Course</t>
  </si>
  <si>
    <t>Valid E2 Language student test account/environment on a desktop browser (latest stable Chrome/Firefox/Safari/Edge). Student is on a free package.</t>
  </si>
  <si>
    <t>Free student account; destination course = PTE (from IELTS)</t>
  </si>
  <si>
    <t xml:space="preserve">Exact URL https://azdopl-rc-main.e2language.com/Student/Home - reached via in-app navigation described in Steps (Header menu, My </t>
  </si>
  <si>
    <t>Objective: Free student successfully switches course at no cost
1. Navigate to Header &gt; Switch My Course.
2. Select a different exam family (e.g. IELTS -&gt; PTE).
3. Choose 'No' on the 'Do you want to upgrade?' prompt.
4. Click Convert Course Now!
5. View the Confirmation Page.
6. Click Go to Classroom.</t>
  </si>
  <si>
    <t>The course switch completes with no payment required, and the student lands on the dashboard for the new course.</t>
  </si>
  <si>
    <t>State change per Expected Result above (package/course/voucher applied) where the case is a positive path; N/A for read-only/negative cases.</t>
  </si>
  <si>
    <t>Switched from IELTS Academic Free to PTE Free at no cost. The Dashboard updated to show the new course and a new onboarding checklist for it.</t>
  </si>
  <si>
    <t>TC-STU-013</t>
  </si>
  <si>
    <t>Verify that Paid student switches course and pays the fee</t>
  </si>
  <si>
    <t>Verify that a paid student switching course is charged the course-change fee and lands on the new course's dashboard.</t>
  </si>
  <si>
    <t>Valid E2 Language student test account/environment on a desktop browser (latest stable Chrome/Firefox/Safari/Edge). Student is on a paid package.</t>
  </si>
  <si>
    <t>Paid student account; destination course differs from current</t>
  </si>
  <si>
    <t>Exact URL https://azdopl-rc-main.e2language.com/Student/Home  - reached via in-app navigation described in Steps (Header menu, )</t>
  </si>
  <si>
    <t>Objective: Paid student successfully switches course and pays the destination-course fee
1. Navigate to Header &gt; Switch My Course.
2. Select a different exam family.
3. Click Convert Course Now!
4. View the Payment Page and complete payment (Shopify test card 1 = approved).
5. View the Confirmation Page.
6. Click Go to Classroom.</t>
  </si>
  <si>
    <t>The student pays the fee for the new course and lands on its dashboard.</t>
  </si>
  <si>
    <t>Switching from PTE Core Silver to IELTS Academic showed a real fee ($49.00), and payment with test card "1" succeeded (confirmation #ZNZDQK8E5). The Dashboard then correctly showed the new course and tier.</t>
  </si>
  <si>
    <t>No issues found. Note: this checkout uses a different (staging) payment page than Registration, where the test cards work correctly - see TC-STU-007.</t>
  </si>
  <si>
    <t>TC-STU-014</t>
  </si>
  <si>
    <t>Verify that Student switches course and upgrades package together</t>
  </si>
  <si>
    <t>Verify that switching course and upgrading package together is charged as one payment, following the normal upgrade pricing rules.</t>
  </si>
  <si>
    <t>Valid E2 Language student test account/environment on a desktop browser (latest stable Chrome/Firefox/Safari/Edge). Student is on a lower-tier package (e.g. IELTS Bronze).</t>
  </si>
  <si>
    <t>Example: IELTS Bronze -&gt; PTE Gold</t>
  </si>
  <si>
    <t>Exact URL https://azdopl-rc-main.e2language.com/Student/Home  - reached via in-app navigation described in Steps (Header menu)</t>
  </si>
  <si>
    <t>Objective: Switch Course and Upgrade combines a course change with a package tier upgrade
1. Navigate to Header &gt; Switch My Course.
2. Select a different exam family.
3. Choose 'Yes' / select a higher tier during package selection.
4. View the Payment Page and complete payment.
5. View the Confirmation Page.
6. Click Go to Classroom.</t>
  </si>
  <si>
    <t>The course switch and package upgrade both happen in one payment, charged per the normal upgrade pricing rules.</t>
  </si>
  <si>
    <t>The checkout correctly itemized two separate charges (course conversion fee + tier upgrade fee) that added up to the total shown. Payment succeeded and the Dashboard showed the new course and tier.</t>
  </si>
  <si>
    <t>TC-STU-015</t>
  </si>
  <si>
    <t>Verify that Failed payment cancels a course switch</t>
  </si>
  <si>
    <t>Verify that a failed payment cancels a course switch, leaving the student on their original course able to retry.</t>
  </si>
  <si>
    <t>Valid E2 Language student test account/environment on a desktop browser (latest stable Chrome/Firefox/Safari/Edge). Student is on a paid package, mid Paid Switch Course flow.</t>
  </si>
  <si>
    <t>Shopify test card 2 (declined)</t>
  </si>
  <si>
    <t>Objective: Switch Course payment failure leaves the student on their original course
1. Start a Paid Switch Course.
2. On the Payment Page, submit a declined test card (Shopify test card 2).
3. Observe the result.</t>
  </si>
  <si>
    <t>If payment fails, the course switch does not happen, and the student stays on their original course and can retry.</t>
  </si>
  <si>
    <t>Payment was declined with a clear error message. The student's course remained unchanged (still on the original package) after returning to the Dashboard.</t>
  </si>
  <si>
    <t>No issues found. This also confirms the approve/decline test cards work correctly on this particular checkout page.</t>
  </si>
  <si>
    <t>TC-STU-016</t>
  </si>
  <si>
    <t>Verify that Switch Course is not available for GRE/WooCommerce courses</t>
  </si>
  <si>
    <t>Verify that Switch Course is hidden or blocked (not silently broken) for students on a GRE or WooCommerce-hosted course.</t>
  </si>
  <si>
    <t>Valid E2 Language student test account/environment on a desktop browser (latest stable Chrome/Firefox/Safari/Edge). Student is registered on the GRE course (via WooCommerce).</t>
  </si>
  <si>
    <t>GRE student account : e2e.student.gre@mailinator.com // Temp@1234</t>
  </si>
  <si>
    <t xml:space="preserve">Exact URL  https://azdopl-rc-main.e2language.com/Student/Home  - reached via in-app navigation described in Steps (Header menu, My </t>
  </si>
  <si>
    <t>Objective: GRE / WooCommerce-hosted courses are not supported for Switch Course
1. Log in as a GRE (WooCommerce) student.
2. Attempt to locate 'Switch My Course' or otherwise switch to a non-WooCommerce course.
3. Observe whether the option is available and, if attempted, what happens.</t>
  </si>
  <si>
    <t>Students on a GRE or WooCommerce-hosted course should not be able to use Switch Course - confirm the option is hidden or blocked, not silently broken.</t>
  </si>
  <si>
    <t>There was no option for the switch course in the GRE Student</t>
  </si>
  <si>
    <t>TC-STU-017</t>
  </si>
  <si>
    <t>Verify that Expired free student extends trial by 1 week</t>
  </si>
  <si>
    <t>Verify that an expired free student completing the extend survey gets their trial extended by exactly 1 week at no cost.</t>
  </si>
  <si>
    <t>Extend Package</t>
  </si>
  <si>
    <t>Valid E2 Language student test account/environment on a desktop browser (latest stable Chrome/Firefox/Safari/Edge). Student's free trial has expired.</t>
  </si>
  <si>
    <t>Expired free-trial account:
test_ptefree28@mailinator.com
Temp@1234</t>
  </si>
  <si>
    <t>Objective: Expired free student extends trial by 1 week via the expired pop-up survey
1. Log in as an expired free student; the Access Period Expired pop-up appears.
2. Click Extend.
3. Complete the survey (any reason other than Financial Constraint).
4. Submit.</t>
  </si>
  <si>
    <t>Completing the expired-trial survey extends the trial by exactly 1 week, at no cost.</t>
  </si>
  <si>
    <t>Complete the expired-trail pop up displayed</t>
  </si>
  <si>
    <t>Need expired trail  account</t>
  </si>
  <si>
    <t>TC-STU-018</t>
  </si>
  <si>
    <t>Verify that Financial hardship survey answer unlocks a discount voucher</t>
  </si>
  <si>
    <t>Verify that selecting 'Financial Constraint' on the extend survey offers a 40% off voucher for the Express+ package.</t>
  </si>
  <si>
    <t>Expired free-trial account; survey reason = Financial Constraint</t>
  </si>
  <si>
    <t xml:space="preserve">Exact URL PLACEHOLDER - reached via in-app navigation described in Steps (Header menu, My </t>
  </si>
  <si>
    <t>Objective: Selecting Financial Constraint on the Extend survey unlocks the Financial Constraint Voucher
1. Log in as an expired free student.
2. Click Extend on the expired pop-up.
3. Complete the survey, selecting 'Financial Constraint' as the reason.
4. Submit.
5. Observe whether the Financial Constraint Voucher (40% off Express+) is offered.</t>
  </si>
  <si>
    <t>Selecting 'Financial Constraint' on the extend survey offers a 40% off voucher for the Express+ package.</t>
  </si>
  <si>
    <t>There is sruvey offers a 40 % off voucher for the Express +package dispalyed</t>
  </si>
  <si>
    <t xml:space="preserve">Needs an expired-trial test account, </t>
  </si>
  <si>
    <t>TC-STU-019</t>
  </si>
  <si>
    <t>Verify that 'Extend' in My Account actually leads to Upgrade, not a free extension</t>
  </si>
  <si>
    <t>Verify that clicking Extend from My Account leads to the paid Upgrade flow rather than the free 1-week extension offered elsewhere.</t>
  </si>
  <si>
    <t>Valid E2 Language student test account/environment on a desktop browser (latest stable Chrome/Firefox/Safari/Edge). Student is on a free package (not necessarily expired).</t>
  </si>
  <si>
    <t>e2e-manual-test-001@mailinator.com
Temp@1234</t>
  </si>
  <si>
    <t>Exact https://azdopl-rc-main.e2language.com/Student/Home - reached via in-app navigation described in Steps</t>
  </si>
  <si>
    <t>Objective: 'Extend' from My Account is actually an Upgrade flow, not the free 1-week extension
1. Log in as a free student.
2. Navigate to My Account and click on Package
3. Click the Extend button.
4. Observe the destination page.</t>
  </si>
  <si>
    <t>Clicking Extend from My Account goes to the paid Upgrade flow, not the free 1-week extension offered elsewhere.</t>
  </si>
  <si>
    <t xml:space="preserve"> My Account showed no Extend button at all, so the click-through to Upgrade could not be confirmed directly.</t>
  </si>
  <si>
    <t>TC-STU-020</t>
  </si>
  <si>
    <t>Verify that Paid extension adds time from the current expiry date</t>
  </si>
  <si>
    <t>Verify that extending a paid package adds the chosen number of weeks from the current expiry date, not from today's payment date.</t>
  </si>
  <si>
    <t>Valid E2 Language student test account/environment on a desktop browser (latest stable Chrome/Firefox/Safari/Edge). Student is on a paid package (expired or via side menu/My Account).</t>
  </si>
  <si>
    <t>Paid student account; extension period = 1 week or 2 weeks
test data : demo-selfgraded4@mailinator.com // Temp@1234</t>
  </si>
  <si>
    <t xml:space="preserve">Exact URL  https://azdopl-rc-main.e2language.com/Student/Home - reached via in-app navigation described in Steps </t>
  </si>
  <si>
    <t>Objective: Paid student extends access by 1 or 2 weeks through standard checkout
1. Log in as a paid student.
2. Trigger Extend via the expired pop-up, side menu, or My Account.
3. Choose a 1-week or 2-week extension period.
4. Complete payment (Shopify test card 1 = approved) on the Payment Information page.
5. View the Confirmation Page.
6. Click Go to Classroom.</t>
  </si>
  <si>
    <t>Extending a paid package adds the chosen number of weeks starting from the current expiry date, not from today's payment date.</t>
  </si>
  <si>
    <t>Extended a paid package add the chosen number of weeks starting from the current expire date, not</t>
  </si>
  <si>
    <t>Needs a paid account that is expired or near-expiry to reach this flow.</t>
  </si>
  <si>
    <t>TC-STU-021</t>
  </si>
  <si>
    <t>Verify that Free trial extension can't be used twice in one cycle</t>
  </si>
  <si>
    <t>Verify that clicking Extend a second time in the same cycle does not grant a second free week.</t>
  </si>
  <si>
    <t>Expired free-trial account, already extended once</t>
  </si>
  <si>
    <t>Objective: Free student clicking Extend twice in one pop-up cycle does not stack a second week
1. Complete the free Extend survey once (per the 1-week-extension case).
2. Immediately attempt to trigger the expired pop-up and Extend flow again in the same cycle.
3. Observe whether a second week is granted.</t>
  </si>
  <si>
    <t>Clicking Extend a second time in the same cycle does not add another free week.</t>
  </si>
  <si>
    <t>Depends on first completing TC-STU-017, which itself is blocked (no expired test account available).</t>
  </si>
  <si>
    <t>Cannot test until TC-STU-017 is unblocked.</t>
  </si>
  <si>
    <t>TC-STU-022</t>
  </si>
  <si>
    <t>Verify that Non-expired students don't see the extend pop-up</t>
  </si>
  <si>
    <t>Verify that the expired-trial pop-up does not appear for a student whose trial hasn't actually expired yet.</t>
  </si>
  <si>
    <t>Valid E2 Language student test account/environment on a desktop browser (latest stable Chrome/Firefox/Safari/Edge). Student's package (free or paid) has not yet expired.</t>
  </si>
  <si>
    <t>Active (non-expired) student account</t>
  </si>
  <si>
    <t>Objective: Non-expired student does not see the Extend pop-up
1. Log in as a student whose package/trial has not expired.
2. Confirm the Access Period Expired pop-up does not appear.
3. Check whether My Account &gt; Extend is available and what it does for a non-expired student.</t>
  </si>
  <si>
    <t>The expired-trial pop-up should not appear for a student whose trial hasn't expired yet.</t>
  </si>
  <si>
    <t>Checked on multiple active accounts (a free trial with 13 days left, and a paid account not due to expire until 2027) - the expired pop-up never appeared, and no Extend option was shown in My Account.</t>
  </si>
  <si>
    <t>TC-STU-023</t>
  </si>
  <si>
    <t>Verify that Abandoned cart triggers a return voucher</t>
  </si>
  <si>
    <t>Verify that starting but not finishing an Upgrade payment triggers a voucher (plus a bonus Writing Assessment) that's auto-applied when the student returns.</t>
  </si>
  <si>
    <t>Special Vouchers</t>
  </si>
  <si>
    <t>Valid E2 Language student test account/environment on a desktop browser (latest stable Chrome/Firefox/Safari/Edge). Student begins an Upgrade and enters payment information.</t>
  </si>
  <si>
    <t>Any student mid-upgrade</t>
  </si>
  <si>
    <t xml:space="preserve">Exact URL https://azdopl-rc-main.e2language.com/Student/Home - reached via in-app navigation described in Steps </t>
  </si>
  <si>
    <t>Objective: Abandon Cart voucher is issued after starting but not completing an Upgrade payment
1. Log in as a student and start an Upgrade.
2. Enter payment information on the Payment Information page.
3. Navigate away WITHOUT completing payment.
4. Return to the Upgrade / Payment Information page on a later visit.
5. Complete the upgrade.</t>
  </si>
  <si>
    <t>Starting but not finishing an upgrade payment triggers a voucher that's auto-applied when the student returns, plus a bonus Writing Assessment.</t>
  </si>
  <si>
    <t>Left the payment page and returned about 10 seconds later within the same browsing session - no voucher or discount appeared.</t>
  </si>
  <si>
    <t>Inconclusive rather than a confirmed failure: this may need a longer real-world gap (hours/days) or a background process to trigger, which a quick same-session check can't reproduce. Needs a longer, real-world retest.</t>
  </si>
  <si>
    <t>TC-STU-024</t>
  </si>
  <si>
    <t>Verify that Leaving checkout triggers an exit voucher</t>
  </si>
  <si>
    <t>Verify that navigating away from checkout triggers a $10 voucher that's auto-applied when the student returns to checkout.</t>
  </si>
  <si>
    <t>Valid E2 Language student test account/environment on a desktop browser (latest stable Chrome/Firefox/Safari/Edge). Student reaches the checkout page during an Upgrade or Add-on purchase.</t>
  </si>
  <si>
    <t>Any student at checkout</t>
  </si>
  <si>
    <t>Objective: Exit Intent voucher is issued when navigating away from checkout
1. Log in as a student and reach the checkout/Payment Information page.
2. Navigate back / away without completing the purchase.
3. Return to checkout.</t>
  </si>
  <si>
    <t>Navigating away from checkout triggers a $10 voucher that's auto-applied when the student returns to checkout.</t>
  </si>
  <si>
    <t>Navigated away and back within the same session - no $10 voucher appeared.</t>
  </si>
  <si>
    <t>Inconclusive rather than a confirmed failure: this feature is usually triggered by real mouse movement toward closing the browser tab, which an automated page navigation may not reproduce. Needs a manual retest by a real user.</t>
  </si>
  <si>
    <t>TC-STU-025</t>
  </si>
  <si>
    <t>Verify that 3 logins in a row unlocks a discount voucher</t>
  </si>
  <si>
    <t>Verify that logging in 3 days in a row unlocks a 20% off voucher, auto-applied on the student's next upgrade.</t>
  </si>
  <si>
    <t>Valid E2 Language student test account/environment on a desktop browser (latest stable Chrome/Firefox/Safari/Edge). Student logs in on 3 consecutive occasions (free or paid).</t>
  </si>
  <si>
    <t>Any free or paid student, 3 consecutive logins</t>
  </si>
  <si>
    <t>Objective: Login Streak voucher is issued after 3 consecutive logins
1. Log in as a student on day 1.
2. Log in again on day 2 (or the next distinct login session).
3. Log in again on day 3.
4. Navigate to the Upgrade flow.</t>
  </si>
  <si>
    <t>Logging in 3 days in a row unlocks a 20% off voucher, auto-applied on the student's next upgrade.</t>
  </si>
  <si>
    <t>Not tested - this requires logging in across 3 separate calendar days, which isn't possible within one continuous test session.</t>
  </si>
  <si>
    <t>Needs a multi-day test window. Also worth confirming with engineering whether "3 in a row" means calendar days or just 3 separate sessions.</t>
  </si>
  <si>
    <t>TC-STU-026</t>
  </si>
  <si>
    <t>Verify that Two vouchers at once - stacking behavior</t>
  </si>
  <si>
    <t>Verify whether a student who qualifies for two vouchers at once gets both applied, or only the larger one.</t>
  </si>
  <si>
    <t>Valid E2 Language student test account/environment on a desktop browser (latest stable Chrome/Firefox/Safari/Edge). Student qualifies for both a Login Streak voucher and an Abandon Cart voucher simultaneously.</t>
  </si>
  <si>
    <t>Student qualifying for 2+ Special Vouchers concurrently</t>
  </si>
  <si>
    <t>Objective: A student eligible for two stackable Special Vouchers at once - verify stacking behavior
1. Set up a student who has both a 3-login streak AND an abandoned upgrade cart.
2. Return to checkout.
3. Observe which voucher(s) apply and how.</t>
  </si>
  <si>
    <t>When a student qualifies for two vouchers at the same time, this case checks whether both apply or only the bigger one does.</t>
  </si>
  <si>
    <t>Not tested - depends on TC-STU-023 and TC-STU-025, both of which are themselves blocked.</t>
  </si>
  <si>
    <t>Cannot test until both prerequisite vouchers can be reliably triggered.</t>
  </si>
  <si>
    <t>TC-STU-027</t>
  </si>
  <si>
    <t>Verify that Free student upgrading to paid pays full price</t>
  </si>
  <si>
    <t>Verify that a free student upgrading to any paid package is charged the full listed price.</t>
  </si>
  <si>
    <t>Payment - Upgrade</t>
  </si>
  <si>
    <t>Free student account; any paid package</t>
  </si>
  <si>
    <t>Objective: Free-to-Paid (F2P) upgrade charges the full price of the selected package
1. Log in as a free student and click Upgrade.
2. View the package selection - any paid package should be available.
3. Select a package and complete payment.
4. Confirm the amount charged equals the package's full list price.</t>
  </si>
  <si>
    <t>A free student upgrading to any paid package pays the full listed price.</t>
  </si>
  <si>
    <t>Upgraded from Free to Bronze; the amount charged matched the package's full list price (a small site-wide promo code was auto-applied, unrelated to the upgrade type). Payment succeeded and the account updated to Bronze.</t>
  </si>
  <si>
    <t>TC-STU-028</t>
  </si>
  <si>
    <t>Verify that Paid student upgrading to a higher tier pays only the difference</t>
  </si>
  <si>
    <t>Verify that a paid student upgrading only sees strictly higher tiers and pays just the price difference, not the full new price.</t>
  </si>
  <si>
    <t>Valid E2 Language student test account/environment on a desktop browser (latest stable Chrome/Firefox/Safari/Edge). Student is on a lower paid tier (e.g. Bronze).</t>
  </si>
  <si>
    <t>Paid student on e.g. Bronze; upgrade to Silver or Gold</t>
  </si>
  <si>
    <t>Objective: Paid-to-Paid (P2P) upgrade charges only the price difference and only shows higher tiers
1. Log in as a paid student on a lower tier.
2. Click Upgrade.
3. Confirm only strictly-higher tiers are shown (current tier and lower tiers are not selectable).
4. Select a higher tier and complete payment.
5. Confirm the amount charged equals (new tier list price - current tier list price), not the new tier's full price.</t>
  </si>
  <si>
    <t>A paid student upgrading only sees higher tiers, and pays just the price difference - not the full new price.</t>
  </si>
  <si>
    <t>Only strictly higher tiers were listed (the current tier, Express, was correctly excluded). The amount charged exactly matched (new tier price - current tier price), not the new tier's full price.</t>
  </si>
  <si>
    <t>TC-STU-029</t>
  </si>
  <si>
    <t>Verify that Express Checkout only works for free students upgrading</t>
  </si>
  <si>
    <t>Verify that Express Checkout works for a free student upgrading, but is blocked for an already-paid student, since it needs a login to calculate the price difference.</t>
  </si>
  <si>
    <t>Valid E2 Language student test account/environment on a desktop browser (latest stable Chrome/Firefox/Safari/Edge). A free student's email, and separately a paid student's email.</t>
  </si>
  <si>
    <t>Free student email (should succeed); paid student email (should be blocked) [Investigated 2026-09-08: The org-voucher URL (/Registration/UpgradeAccountWithCode?code=...) does NOT provide a genuine anonymous entry point - if any student B2C session is active in ANY tab of the same browser (shared cookies across the whole azdopl-rc-*.e2language.com / auth-rcv2 domain), clicking Upgrade silently reuses that session and skips straight to Payment, showing Login as already completed. This is NOT the anonymous single-email-entry Express Checkout this test case describes. No standalone unauthenticated email-entry Express Checkout URL has been found yet - still Blocked pending a real entry point.]</t>
  </si>
  <si>
    <t>Objective: Express Checkout is available for F2P upgrades but blocked for P2P
1. Access the Express Checkout page as an unauthenticated visitor.
2. Enter a FREE student's email address, choose a package, and complete payment - should succeed as an F2P upgrade.
3. Repeat using a PAID student's email address.
4. Observe the result for the paid-student case.</t>
  </si>
  <si>
    <t>Express Checkout works for a free student upgrading, but is blocked for an already-paid student, since it needs a login to calculate the price difference.</t>
  </si>
  <si>
    <t>No genuine Express Checkout entry point (a page that works without being logged in) could be found. A related voucher link initially looked promising, but turned out to just reuse an existing login session rather than being a true guest checkout.</t>
  </si>
  <si>
    <t>Needs the correct Express Checkout web address from engineering before this can be tested.</t>
  </si>
  <si>
    <t>TC-STU-030</t>
  </si>
  <si>
    <t>Verify that Upgrade price difference ignores past discounts</t>
  </si>
  <si>
    <t>Verify that the upgrade price difference is calculated from full list prices, even if the student's current package was originally bought at a discount.</t>
  </si>
  <si>
    <t>Valid E2 Language student test account/environment on a desktop browser (latest stable Chrome/Firefox/Safari/Edge). Student purchased their current package at a discount (voucher/promo).</t>
  </si>
  <si>
    <t>Paid student with a discounted current package</t>
  </si>
  <si>
    <t>Objective: P2P upgrade from a previously-discounted package computes the difference from list price
1. Set up a paid student whose current package was purchased at a discounted price (via Admin &gt; People &gt; Student &gt; Add Package, or a real discounted purchase).
2. Initiate a P2P upgrade to a higher tier.
3. Confirm the charged amount is based on LIST price of current tier vs. list price of new tier - not the discounted price actually paid.</t>
  </si>
  <si>
    <t>The upgrade price difference is calculated from full list prices, even if the student's current package was originally bought at a discount.</t>
  </si>
  <si>
    <t>Checked the upgrade prices shown for a student who had previously bought their current package at a $10 discount - the prices matched (full list price of new tier) minus (full list price of current tier), not the discounted price actually paid.</t>
  </si>
  <si>
    <t>TC-STU-031</t>
  </si>
  <si>
    <t>Verify that Express Checkout registers and pays in one page</t>
  </si>
  <si>
    <t>Verify that a student can register and pay on a single Express Checkout page, then complete the normal confirmation steps (email verification, password, post-registration questions).</t>
  </si>
  <si>
    <t>Registration</t>
  </si>
  <si>
    <t>Valid E2 Language test environment on a desktop browser (latest stable Chrome/Firefox/Safari/Edge); no active student session required.</t>
  </si>
  <si>
    <t>New (unregistered) email address; Shopify test card 1 (approved) [Investigated 2026-09-08: The org-voucher URL (/Registration/UpgradeAccountWithCode?code=...) does NOT provide a genuine anonymous entry point - if any student B2C session is active in ANY tab of the same browser (shared cookies across the whole azdopl-rc-*.e2language.com / auth-rcv2 domain), clicking Upgrade silently reuses that session and skips straight to Payment, showing Login as already completed. This is NOT the anonymous single-email-entry Express Checkout this test case describes. No standalone unauthenticated email-entry Express Checkout URL has been found yet - still Blocked pending a real entry point.]</t>
  </si>
  <si>
    <t>Objective: Express Checkout registers a new student via a single email+payment page
1. Access the Express Checkout page (no login).
2. Enter an email address not already registered.
3. Choose a payment method and complete payment.
4. Confirm the email-verification / confirmation flow proceeds as normal.</t>
  </si>
  <si>
    <t>The student can register and pay on a single page, then goes through the normal confirmation steps (email verification, password, post-registration questions).</t>
  </si>
  <si>
    <t>Same as TC-STU-029 - no genuine guest checkout entry point could be found. A voucher-link URL that looked similar just reused an existing login session instead of offering a true anonymous checkout.</t>
  </si>
  <si>
    <t>Needs the correct Express Checkout web address from engineering.</t>
  </si>
  <si>
    <t>TC-STU-032</t>
  </si>
  <si>
    <t>Verify that Express Checkout blocks already-registered emails</t>
  </si>
  <si>
    <t>Verify that Express Checkout stops and redirects to Login or Upgrade, instead of allowing re-registration, when the email is already registered.</t>
  </si>
  <si>
    <t>Already-registered email address [Investigated 2026-09-08: The org-voucher URL (/Registration/UpgradeAccountWithCode?code=...) does NOT provide a genuine anonymous entry point - if any student B2C session is active in ANY tab of the same browser (shared cookies across the whole azdopl-rc-*.e2language.com / auth-rcv2 domain), clicking Upgrade silently reuses that session and skips straight to Payment, showing Login as already completed. This is NOT the anonymous single-email-entry Express Checkout this test case describes. No standalone unauthenticated email-entry Express Checkout URL has been found yet - still Blocked pending a real entry point.]</t>
  </si>
  <si>
    <t>Objective: Express Checkout is blocked when the email is already registered
1. Access the Express Checkout page.
2. Enter an email address that is already registered in the system.
3. Attempt to proceed.</t>
  </si>
  <si>
    <t>If the email is already registered, Express Checkout stops and sends the student to Login or Upgrade instead of letting them register again.</t>
  </si>
  <si>
    <t>Same blocker as TC-STU-029/031 - no genuine guest checkout entry point could be found to test against.</t>
  </si>
  <si>
    <t>TC-STU-033</t>
  </si>
  <si>
    <t>Verify that Registering via an organization voucher link applies the discount automatically</t>
  </si>
  <si>
    <t>Verify that signing up through an organization's voucher link applies the discount automatically and lists the student under that organization.</t>
  </si>
  <si>
    <t>Organization Voucher Code: GP001-bZbC-01 (Org: Genepool / GP001) - real, active, non-expired voucher created via Admin &gt; Partners &gt; Organization &gt; Genepool &gt; Show Voucher &gt; Create Single Voucher. Type: Price Discount -$10.00, Test Type: PTE, Usability: Multiple, Valid until +30 days from creation.</t>
  </si>
  <si>
    <t>https://azdopl-rc-main.e2language.com/Registration/UpgradeAccountWithCode?code=GP001-bZbC-01</t>
  </si>
  <si>
    <t>Objective: Registration via an Organization Voucher URL auto-applies the discount and lists the student under the org
1. Navigate to an Organization Voucher URL (e.g. /Registration/UpgradeAccountWithCode?code=...).
2. Click Upgrade / Sign Up in the resulting pop-up.
3. Complete registration and payment.
4. As Admin, verify the new student is listed under the voucher-owner Organization.</t>
  </si>
  <si>
    <t>Signing up through an organization's voucher link applies the discount automatically, and the student is listed under that organization.</t>
  </si>
  <si>
    <t>The link showed the correct $10 discount automatically, and payment succeeded. Checking in Admin confirmed the new student was correctly listed under Organization = Genepool.</t>
  </si>
  <si>
    <t>No issues found. A real voucher code was created via Admin access specifically to test this case.</t>
  </si>
  <si>
    <t>TC-STU-034</t>
  </si>
  <si>
    <t>Verify that Registering via a referral link gives a 25% discount</t>
  </si>
  <si>
    <t>Verify that a student who signs up through an E2 Rewards referral link gets 25% off their first paid package.</t>
  </si>
  <si>
    <r>
      <rPr>
        <rFont val="Calibri"/>
        <color theme="1"/>
        <sz val="11.0"/>
      </rPr>
      <t xml:space="preserve">Valid referral URL/code from an existing student
</t>
    </r>
    <r>
      <rPr>
        <rFont val="Calibri"/>
        <color rgb="FF1155CC"/>
        <sz val="11.0"/>
        <u/>
      </rPr>
      <t>https://azdopl-rc-main.e2language.com//Registration/SignUpWithReferral?referralCode=d49392ffa2a849d094e70dcce461c951</t>
    </r>
  </si>
  <si>
    <r>
      <rPr>
        <rFont val="Calibri"/>
        <color theme="1"/>
        <sz val="11.0"/>
      </rPr>
      <t xml:space="preserve">Exact URL </t>
    </r>
    <r>
      <rPr>
        <rFont val="Calibri"/>
        <color rgb="FF1155CC"/>
        <sz val="11.0"/>
        <u/>
      </rPr>
      <t>https://azdopl-rc-main.e2language.com//Registration/SignUpWithReferral?referralCode=d49392ffa2a849d094e70dcce461c951</t>
    </r>
    <r>
      <rPr>
        <rFont val="Calibri"/>
        <color theme="1"/>
        <sz val="11.0"/>
      </rPr>
      <t xml:space="preserve"> - reached via in-app navigation described in Steps (Header menu, My </t>
    </r>
  </si>
  <si>
    <t>Objective: Registration via an E2 Rewards referral URL grants the referred student a 25% discount
1. Obtain a referral URL from an existing student (e.g. /Registration/SignUpWithReferral?referralCode=...).
2. Enter an email on the 'Get 25% off' landing page and click Unlock My Discount.
3. Select a course and package, then complete registration and payment.
4. Confirm the 25% discount is reflected in the amount charged.</t>
  </si>
  <si>
    <t>A student who signs up through an E2 Rewards referral link gets 25% off their first paid package." Your 25% off discount is automatically applied. " message should be dispalyed</t>
  </si>
  <si>
    <t>Register from the referral link the other student get 25 % discount and " Your 25% off discount is automatically applied. " message dispalyed</t>
  </si>
  <si>
    <t>Needs a test account that has completed real email verification, or an Admin option to mark an account's email as verified.</t>
  </si>
  <si>
    <t>TC-STU-035</t>
  </si>
  <si>
    <t>Verify that Registering via a partner's website reaches the normal sign-up flow</t>
  </si>
  <si>
    <t>Verify that starting registration from a partner organization's own website leads into the same standard Paid Sign Up flow as any other entry point.</t>
  </si>
  <si>
    <t>TC-MOB-001</t>
  </si>
  <si>
    <t>Verify that Student logs in and out on mobile</t>
  </si>
  <si>
    <t>Verify that a student can log in and out correctly on the mobile site.</t>
  </si>
  <si>
    <t>Valid E2 Language student test account/environment on a desktop browser (latest stable Chrome/Firefox/Safari/Edge). Mobile web browser (m.app.e2language.com per confirmed architecture doc). Paid student test account.</t>
  </si>
  <si>
    <t>Username/Password (source: existing verified case TC-M007)</t>
  </si>
  <si>
    <t>https://m.app.e2language.com (production hostname, confirmed per wiki architecture doc; exact staging mobile host PLACEHOLDER - not independently verified live, only the desktop staging hosts were).</t>
  </si>
  <si>
    <t>1. Navigate to the mobile login page.
2. Log in as a paid student using Username and Password.
3. Confirm the mobile dashboard loads.
4. Log out.</t>
  </si>
  <si>
    <t>Login and logout both work correctly on the mobile site.</t>
  </si>
  <si>
    <t>Objective: Registration via an Organization's own partnership website reaches the same Paid Sign Up flow
1. Navigate to an organization's partnership URL (https://azdopl-rc-main.e2language.com/Registration/UpgradeAccountWithCode?code=GP001-bZbC-01).
2. Click Sign Up on a package card.
3. Confirm redirection to the standard Paid Sign Up page and complete registration.</t>
  </si>
  <si>
    <t>Starting registration from a partner organization's own website leads into the same standard Paid Sign Up flow as any other entry point.</t>
  </si>
  <si>
    <t>TC-MOB-002</t>
  </si>
  <si>
    <t>Verify that Student logs in with Google on mobile</t>
  </si>
  <si>
    <t>Verify that a student can log in and out using a Google account on mobile.</t>
  </si>
  <si>
    <t>Valid E2 Language student test account/environment on a desktop browser (latest stable Chrome/Firefox/Safari/Edge). Paid student account with Google social login enabled.</t>
  </si>
  <si>
    <t>Needs a real, working partner website link from engineering to test this properly.</t>
  </si>
  <si>
    <t>Google account credentials (source: TC-M008)</t>
  </si>
  <si>
    <t>https://m.app.e2language.com (PLACEHOLDER exact staging host)</t>
  </si>
  <si>
    <t>1. Navigate to the mobile login page.
2. Log in as a paid student using Google Social login.
3. Confirm the mobile dashboard loads.
4. Log out.</t>
  </si>
  <si>
    <t>Login and logout both work using a Google account on mobile.</t>
  </si>
  <si>
    <t>TC-STU-036</t>
  </si>
  <si>
    <t>Verify that Student buys a Tutorial Session add-on with no purchase limit</t>
  </si>
  <si>
    <t>Verify that the Tutorial Session add-on can be bought through the Shop repeatedly, with no purchase limit.</t>
  </si>
  <si>
    <t>Payment - Add-on Purchase</t>
  </si>
  <si>
    <t>Valid E2 Language student test account/environment on a desktop browser (latest stable Chrome/Firefox/Safari/Edge).</t>
  </si>
  <si>
    <t>TC-MOB-003</t>
  </si>
  <si>
    <t>Verify that Student logs in with Facebook on mobile</t>
  </si>
  <si>
    <t>Any student account; Tutorial Session add-on</t>
  </si>
  <si>
    <t>Verify that a student can log in and out using a Facebook account on mobile.</t>
  </si>
  <si>
    <t>Objective: Student purchases an Appointment add-on (Tutorial Session) via E2 Shop with no purchase limit
1. Log in as a student and navigate to E2 Shop.
2. Click Learn More on Tutorial Session, then Buy.
3. Complete payment on the Payment Information page.
4. View the Confirmation Page and click Go to Dashboard.
5. Repeat the purchase a second time to confirm no maximum limit applies.</t>
  </si>
  <si>
    <t>Valid E2 Language student test account/environment on a desktop browser (latest stable Chrome/Firefox/Safari/Edge). Paid student account with Facebook social login enabled.</t>
  </si>
  <si>
    <t>The Tutorial Session add-on can be bought through the Shop, and can be bought again with no limit.</t>
  </si>
  <si>
    <t>Facebook account credentials (source: TC-M009)</t>
  </si>
  <si>
    <t>1. Navigate to the mobile login page.
2. Log in as a paid student using Facebook Social login.
3. Confirm the mobile dashboard loads.
4. Log out.</t>
  </si>
  <si>
    <t>Login and logout both work using a Facebook account on mobile.</t>
  </si>
  <si>
    <t>Bought the Tutorial Session add-on successfully (confirmation #N5LTA4QIV), then bought it again immediately - the Buy option was still available and the second purchase also succeeded (confirmation #3RQ865LP5).</t>
  </si>
  <si>
    <t>TC-MOB-004</t>
  </si>
  <si>
    <t>Verify that Student logs into Content Tool via SSO on mobile</t>
  </si>
  <si>
    <t>Verify that logging in with username and password successfully opens Content Tool via SSO on mobile.</t>
  </si>
  <si>
    <t>TC-STU-037</t>
  </si>
  <si>
    <t>Content Tool - Login (SSO)</t>
  </si>
  <si>
    <t>Verify that Add-on purchase is blocked once the student owns every option</t>
  </si>
  <si>
    <t>Username/Password (source: TC-M010)</t>
  </si>
  <si>
    <t>Verify that if a student buys all assessment bundles from the Shop, the Buy option is no longer available for Writing and Speaking Assessments</t>
  </si>
  <si>
    <t>Content Tool activity on mobile (exact URL PLACEHOLDER)</t>
  </si>
  <si>
    <t>1. On mobile, log in with Username and Password.
2. Open a Content Tool activity.
3. Confirm SSO login to E2V2 succeeds.</t>
  </si>
  <si>
    <t>Logging in with username and password successfully opens Content Tool on mobile.</t>
  </si>
  <si>
    <t>Valid E2 Language student test account/environment on a desktop browser (latest stable Chrome/Firefox/Safari/Edge). Student already owns every available Individual Assessment and Assessment Bundle option for their course.</t>
  </si>
  <si>
    <t>Student account already at the assessment-add-on cap
e2e.stu.allin.260908@mailinator.com
TestPass123!</t>
  </si>
  <si>
    <t xml:space="preserve">Objective: Assessment add-on purchase is blocked once the student owns every available option
1. Log in as a   e2e.stu.allin.260908@mailinator.com // TestPass123!
2. Navigate to E2 Shop or the Assessments menu.
</t>
  </si>
  <si>
    <t>TC-MOB-005</t>
  </si>
  <si>
    <t>Verify that Eligible student auto-logs into Content Tool on mobile</t>
  </si>
  <si>
    <t>Once a student already owns every assessment add-on for their course, assessment option is not displayed like in this credination Speaking Asessments</t>
  </si>
  <si>
    <t>Verify that a free CELPIP/GRE/SAT student registering on mobile is logged into Content Tool automatically.</t>
  </si>
  <si>
    <t>Content Tool - Login (ROPC)</t>
  </si>
  <si>
    <t>Valid E2 Language student test account/environment on a desktop browser (latest stable Chrome/Firefox/Safari/Edge). Free CELPIP/GRE/SAT student who just registered (ROPC scope constraint applies on mobile too).</t>
  </si>
  <si>
    <t>Username/Password (source: TC-M011)</t>
  </si>
  <si>
    <t>1. On mobile, register using Username and Password as a free CELPIP/GRE/SAT student.
2. Open the Content Tool activity.
3. Confirm access without a second login prompt (ROPC).</t>
  </si>
  <si>
    <t>A free CELPIP/GRE/SAT student registering on mobile is logged into Content Tool automatically.</t>
  </si>
  <si>
    <t>Needs a test account pre-set-up with every assessment add-on already owned.</t>
  </si>
  <si>
    <t>TC-STU-038</t>
  </si>
  <si>
    <t>Verify that Express Mock Test add-on is listed but not yet purchasable</t>
  </si>
  <si>
    <t>TC-MOB-006</t>
  </si>
  <si>
    <t>Verify that Eligible student auto-logs into Content Tool via Social Login on mobile</t>
  </si>
  <si>
    <t>Verify that Express Mock Test appears in the add-on list but is clearly shown as not yet purchasable, rather than looking broken.</t>
  </si>
  <si>
    <t>Verify that a free CELPIP/GRE/SAT student who registered using Social Login is logged into Content Tool automatically on mobile.</t>
  </si>
  <si>
    <t>Content Tool - Login (ROPC, social)</t>
  </si>
  <si>
    <t>Valid E2 Language student test account/environment on a desktop browser (latest stable Chrome/Firefox/Safari/Edge). Free CELPIP/GRE/SAT student registering via Social Login.</t>
  </si>
  <si>
    <t>Social Login (source: TC-M012)</t>
  </si>
  <si>
    <t>Any student account</t>
  </si>
  <si>
    <t>1. On mobile, register using Social Login as a free CELPIP/GRE/SAT student.
2. Open the Content Tool activity.
3. Confirm access without a second login prompt (ROPC).</t>
  </si>
  <si>
    <t>A free CELPIP/GRE/SAT student who registered using Social Login is logged into Content Tool automatically.</t>
  </si>
  <si>
    <t>Objective: Express Mock Test add-on is listed but not currently purchasable
1. Log in as a student and navigate to E2 Shop or the Mock Test menu.
2. Locate the Express Mock Test option.
3. Attempt to purchase it.</t>
  </si>
  <si>
    <t>Express Mock Test shows up in the list but cannot actually be bought yet - it should look clearly unavailable, not broken.</t>
  </si>
  <si>
    <t>TC-MOB-007</t>
  </si>
  <si>
    <t>Verify that Student logs into Content Tool via Social Login SSO on mobile</t>
  </si>
  <si>
    <t>Verify that a student who registered using Social Login can open Content Tool through SSO on mobile.</t>
  </si>
  <si>
    <t>Content Tool - Login (SSO, social)</t>
  </si>
  <si>
    <t>"Express Mock Test" does not appear anywhere in the Shop at all, checked across two different courses (IELTS Academic and PTE Core).</t>
  </si>
  <si>
    <t>Social Login (source: TC-M013)</t>
  </si>
  <si>
    <t>Defect: the item is completely missing rather than shown in a "coming soon" state, so students can't tell whether it's meant to be there or just broken. Needs confirmation from engineering on whether this product should exist yet.</t>
  </si>
  <si>
    <t>1. On mobile, log in using Social Login.
2. Open a Content Tool activity.
3. Confirm SSO login to E2V2 succeeds.</t>
  </si>
  <si>
    <t>A student using Social Login can open Content Tool through SSO on mobile.</t>
  </si>
  <si>
    <t>TC-STU-039</t>
  </si>
  <si>
    <t>Verify that E2 English add-on can only be bought once</t>
  </si>
  <si>
    <t>Verify that buying the E2 English add-on redirects to the E2 English platform, and buying it again for the same course is blocked.</t>
  </si>
  <si>
    <t>TC-MOB-008</t>
  </si>
  <si>
    <t>Verify that Student opens a Content Tool activity on mobile</t>
  </si>
  <si>
    <t>Verify that a student can access and open a Content Tool activity on mobile.</t>
  </si>
  <si>
    <t>Content Tool - Activity Access</t>
  </si>
  <si>
    <t>E2 English add-on: Elementary / Intermediate / Advanced / Pronunciation</t>
  </si>
  <si>
    <t>1. On mobile, navigate to a Content Tool activity.
2. Confirm the activity is accessible and renders correctly on a mobile viewport.</t>
  </si>
  <si>
    <t>Objective: E2 English add-on purchase is one-time only, with continued access on the separate E2 English platform
1. Log in as a student and purchase an E2 English add-on (e.g. Elementary English) via E2 Shop.
2. Complete payment and confirm access.
3. Attempt to purchase the SAME E2 English add-on a second time.
4. Navigate to the E2 English content via Course Material and confirm the student is redirected to the separate E2 English platform.</t>
  </si>
  <si>
    <t>The student can access and open a Content Tool activity on mobile.</t>
  </si>
  <si>
    <t>Buying the E2 English add-on redirects the student to the E2 English platform; buying it again for the same course is blocked.</t>
  </si>
  <si>
    <t>Purchase succeeded (confirmation #A69E8L0HG). Returning to the Shop, the same bundle was no longer listed as an option at all (rather than just greyed out). Opening it from Course Materials correctly began redirecting to the separate E2 English platform.</t>
  </si>
  <si>
    <t>TC-MOB-009</t>
  </si>
  <si>
    <t>Verify that Student registers on mobile with username and password</t>
  </si>
  <si>
    <t>Minor observation: the redirect to the E2 English platform stayed on a "Logging in..." screen for over 10 seconds without finishing in this test - likely just a slow handoff rather than a real defect, since the web address and redirect itself were correct.</t>
  </si>
  <si>
    <t>Verify that registration succeeds on mobile using a regular email/username and password.</t>
  </si>
  <si>
    <t>No existing account for the test email; mobile browser.</t>
  </si>
  <si>
    <t>Fresh unique email; free package (source: TC-M001)</t>
  </si>
  <si>
    <t>TC-STU-040</t>
  </si>
  <si>
    <t>Mobile registration page (exact URL PLACEHOLDER)</t>
  </si>
  <si>
    <t>1. Navigate to the mobile registration page.
2. Register as a free student using Username and Password.</t>
  </si>
  <si>
    <t>Verify that Group Class add-on only shows when a class is scheduled</t>
  </si>
  <si>
    <t>Registration succeeds on mobile using a regular email/username and password.</t>
  </si>
  <si>
    <t>Verify that the Group Class add-on only appears when a class is actually scheduled for the student's course.</t>
  </si>
  <si>
    <t>Student course with and without a scheduled Group Class</t>
  </si>
  <si>
    <t>TC-MOB-010</t>
  </si>
  <si>
    <t>Verify that All mobile navigation menus work</t>
  </si>
  <si>
    <t>Verify that every navigation menu on mobile opens the correct page.</t>
  </si>
  <si>
    <t>Objective: Group Class add-on only surfaces when a class is actually scheduled for the student's course
1. As Admin/Teacher, confirm whether a Group Class is currently scheduled for the test student's course.
2. Log in as the student and check E2 Shop / Group Class menu for the add-on's availability.
3. If unscheduled, confirm the add-on does not appear; if scheduled, confirm it does and can be purchased.</t>
  </si>
  <si>
    <t>Navigation</t>
  </si>
  <si>
    <t>The Group Class add-on only appears when a class is actually scheduled for the student's course.</t>
  </si>
  <si>
    <t>Mobile dashboard (exact URL PLACEHOLDER)</t>
  </si>
  <si>
    <t>1. Log in as a student on mobile.
2. Click through each navigation menu item.
3. Confirm each destination page loads correctly.</t>
  </si>
  <si>
    <t>Every navigation menu on mobile opens the correct page.</t>
  </si>
  <si>
    <t>No Group Class item appeared in the Shop for a student with no scheduled class, matching the expected "hidden when unscheduled" behavior.</t>
  </si>
  <si>
    <t>Only the "unscheduled = hidden" half was confirmed. The positive case (a class is scheduled and the add-on appears) still needs to be checked with an actual scheduled Group Class.</t>
  </si>
  <si>
    <t>TC-MOB-011</t>
  </si>
  <si>
    <t>Verify that New student completes onboarding on mobile</t>
  </si>
  <si>
    <t>TC-STU-041</t>
  </si>
  <si>
    <t>Verify that a new free student can complete onboarding on mobile and see their score afterward.</t>
  </si>
  <si>
    <t>Verify that Expedited Feedback can only be bought from the submission itself</t>
  </si>
  <si>
    <t>Onboarding</t>
  </si>
  <si>
    <t>Verify that Expedited Feedback can only be bought from that specific submission's own entry in the grid, not from the Shop or a direct link.</t>
  </si>
  <si>
    <t>New free student account; mobile browser.</t>
  </si>
  <si>
    <t>Mobile onboarding checklist (exact URL PLACEHOLDER)</t>
  </si>
  <si>
    <t>1. Log in as a new free student on mobile.
2. Open the onboarding checklist.
3. Complete each onboarding task.
4. Check the recent score/summary view.</t>
  </si>
  <si>
    <t>A new free student can complete onboarding on mobile and see their score afterward.</t>
  </si>
  <si>
    <t>Valid E2 Language student test account/environment on a desktop browser (latest stable Chrome/Firefox/Safari/Edge). Student has a submitted assessment awaiting review.</t>
  </si>
  <si>
    <t>Student with a pending assessment submission</t>
  </si>
  <si>
    <t>Objective: Expedited Feedback add-on can only be purchased from the submission grid, never Shop or a direct URL
1. Attempt to find/purchase Expedited Feedback via E2 Shop - confirm it is NOT available there.
2. Attempt a direct Add-on URL for Expedited Feedback (if one is guessed/known) - confirm it does not work either.
3. Go to the submission grid where the assessment is listed.
4. Click the Expedited Feedback action button and complete the purchase.
5. Confirm the submission is tagged as Expedited and prioritised.</t>
  </si>
  <si>
    <t>Expedited Feedback cannot be bought from the Shop or a direct link - only from that specific submission's own entry in the grid.</t>
  </si>
  <si>
    <t>TC-MOB-012</t>
  </si>
  <si>
    <t>Verify that Student registers and pays on mobile</t>
  </si>
  <si>
    <t>Verify that a student can register and pay on mobile, with payment approved and the new account created.</t>
  </si>
  <si>
    <t>Payment - New Registration</t>
  </si>
  <si>
    <t>Confirmed Expedited Feedback does not appear anywhere in the Shop.</t>
  </si>
  <si>
    <t>Card 1, CVV 123, any future expiry (same Shopify test-gateway convention confirmed on desktop).</t>
  </si>
  <si>
    <t>Only the "not available in Shop" half was confirmed. The positive case (buying it from an actual submission) still needs a student with a pending submission to test.</t>
  </si>
  <si>
    <t>Mobile registration -&gt; Payment Information page (exact URL PLACEHOLDER)</t>
  </si>
  <si>
    <t>1. Register on mobile through to the Payment Information page.
2. Select 'Credit/debit card' and pay with card 1.</t>
  </si>
  <si>
    <t>Payment is approved and a new student account is created on mobile.</t>
  </si>
  <si>
    <t>TC-STU-042</t>
  </si>
  <si>
    <t>Verify that Reset Appointment add-on only unlocks after a No-Show</t>
  </si>
  <si>
    <t>Verify that Reset Appointment only becomes available, from the appointment grid, after a teacher marks the student No-Show.</t>
  </si>
  <si>
    <t>TC-MOB-013</t>
  </si>
  <si>
    <t>Verify that Student upgrades their package on mobile</t>
  </si>
  <si>
    <t>Verify that a student can upgrade their package on mobile, completing successfully under the same pricing rules as desktop.</t>
  </si>
  <si>
    <t>Valid E2 Language student test account/environment on a desktop browser (latest stable Chrome/Firefox/Safari/Edge). Student missed a booked appointment and a teacher has marked them No-Show.</t>
  </si>
  <si>
    <t>Student on a free package; mobile browser.</t>
  </si>
  <si>
    <t>Card 1 for checkout.</t>
  </si>
  <si>
    <t>Mobile Upgrade flow (exact URL PLACEHOLDER)</t>
  </si>
  <si>
    <t>Student with a No-Show-marked appointment</t>
  </si>
  <si>
    <t>1. Log in as a free student on mobile.
2. Navigate to Upgrade.
3. Complete an F2P upgrade with card 1.</t>
  </si>
  <si>
    <t>The upgrade completes successfully on mobile, following the same pricing rules as desktop.</t>
  </si>
  <si>
    <t>Objective: Reset Appointment add-on can only be purchased after a teacher marks the student No-Show
1. As Teacher, mark a student's missed appointment as No-Show.
2. As the student, go to the appointment grid.
3. Confirm the Reset action button appears (and did not appear before the No-Show mark).
4. Click Reset and complete the purchase.
5. Confirm the student can now book another appointment.</t>
  </si>
  <si>
    <t>The Reset Appointment option only becomes available after a teacher marks the student as No-Show, and only from the appointment grid.</t>
  </si>
  <si>
    <t>TC-MOB-014</t>
  </si>
  <si>
    <t>Verify that Student buys an add-on on mobile</t>
  </si>
  <si>
    <t>Verify that a student can buy an add-on on mobile and the purchase completes successfully.</t>
  </si>
  <si>
    <t>Not tested this round - requires first booking an appointment and having a Teacher mark it No-Show, which is a multi-step setup not completed yet.</t>
  </si>
  <si>
    <t>Needs a booked appointment plus a Teacher-side No-Show action set up first.</t>
  </si>
  <si>
    <t>Add-on: Tutorial Session.</t>
  </si>
  <si>
    <t>Mobile E2 Shop (exact URL PLACEHOLDER)</t>
  </si>
  <si>
    <t>1. Log in as a student on mobile.
2. Purchase the Tutorial Session add-on via E2 Shop.</t>
  </si>
  <si>
    <t>The add-on purchase completes successfully on mobile.</t>
  </si>
  <si>
    <t>TC-STU-043</t>
  </si>
  <si>
    <t>Verify that Free to Power upgrade is allowed</t>
  </si>
  <si>
    <t>Verify that upgrading from Free to Power is allowed and goes through the normal payment flow.</t>
  </si>
  <si>
    <t>Package Upgrade</t>
  </si>
  <si>
    <t>Valid E2 Language student test account/environment on a desktop browser (latest stable Chrome/Firefox/Safari/Edge). Student is on the Free package.</t>
  </si>
  <si>
    <t>TC-MOB-015</t>
  </si>
  <si>
    <t>Verify that Blocked package upgrades behave the same on mobile</t>
  </si>
  <si>
    <t>e2e.stu.free2.260908@mailinator.com / TestPass123! (Free tier) - From package = Free; To package = Power</t>
  </si>
  <si>
    <t>Verify that a blocked package upgrade shows the same suggestion-page behavior on mobile as it does on desktop.</t>
  </si>
  <si>
    <t>https://azdopl-rc-main.e2language.com/Registration/UpgradeAccount (in-app: Header menu &gt; My Account &gt; Upgrade Account)</t>
  </si>
  <si>
    <t>Objective: Free package upgrade to Power: ALLOWED
1. Log in as a student on the Free package.
2. Navigate to Upgrade / package selection.
3. Attempt to select the Power package.
4. Observe whether the upgrade is offered and, if blocked, whether an 'upgrade package suggestion' page is shown.</t>
  </si>
  <si>
    <t>Student on the Express package; mobile browser.</t>
  </si>
  <si>
    <t>Upgrading from Free to Power is allowed and goes through the normal payment flow.</t>
  </si>
  <si>
    <t>Destination: Power (Express -&gt; Power confirmed blocked on desktop, per the QA-authored matrix).</t>
  </si>
  <si>
    <t>Mobile Upgrade / package selection (exact URL PLACEHOLDER)</t>
  </si>
  <si>
    <t>1. Log in as the Express student on mobile.
2. Attempt to upgrade to Power.</t>
  </si>
  <si>
    <t>A blocked upgrade shows the same suggestion-page behavior on mobile as it does on desktop.</t>
  </si>
  <si>
    <t>The Power package did not appear anywhere in the Free student's upgrade list at all (only Bronze/Silver/Gold/Express and a few others were shown).</t>
  </si>
  <si>
    <t>Discrepancy: either the app or the documented expected result is wrong - needs engineering to confirm whether Free-to-Power should actually be allowed.</t>
  </si>
  <si>
    <t>TC-MOB-016</t>
  </si>
  <si>
    <t>Verify that Student joins a live class on mobile</t>
  </si>
  <si>
    <t>Verify that the live class join flow works correctly on mobile.</t>
  </si>
  <si>
    <t>TC-STU-044</t>
  </si>
  <si>
    <t>Live Class</t>
  </si>
  <si>
    <t>Verify that Free to Tutorial Bundle upgrade is blocked</t>
  </si>
  <si>
    <t>Valid E2 Language student test account/environment on a desktop browser (latest stable Chrome/Firefox/Safari/Edge). Student registered for an upcoming live class; mobile browser.</t>
  </si>
  <si>
    <t>Verify that there is no way to upgrade directly from Free to a Tutorial Bundle package - the option simply doesn't exist.</t>
  </si>
  <si>
    <t>Mobile Live Class menu (exact URL PLACEHOLDER)</t>
  </si>
  <si>
    <t>1. Log in as a student on mobile.
2. Navigate to Live Class.
3. Join an in-progress class.</t>
  </si>
  <si>
    <t>The live class join flow works correctly on mobile.</t>
  </si>
  <si>
    <t>e2e.stu.free2.260908@mailinator.com / TestPass123! (Free tier) - From package = Free; To package = Tutorial Bundle x2</t>
  </si>
  <si>
    <t>Objective: Free package upgrade to Tutorial Bundle x2: BLOCKED
1. Log in as a student on the Free package.
2. Navigate to Upgrade / package selection.
3. Attempt to select the Tutorial Bundle x2 package.
4. Observe whether the upgrade is offered and, if blocked, whether an 'upgrade package suggestion' page is shown.</t>
  </si>
  <si>
    <t>There is no way to upgrade from Free directly to a Tutorial Bundle package - the option simply doesn't exist.</t>
  </si>
  <si>
    <t>Tutorial Bundle x2 was correctly absent from the Free student's upgrade list.</t>
  </si>
  <si>
    <t>TC-STU-045</t>
  </si>
  <si>
    <t>Verify that Express to Power upgrade is blocked</t>
  </si>
  <si>
    <t>Verify that upgrading from Express to Power is blocked, showing a suggested-package page instead.</t>
  </si>
  <si>
    <t>Valid E2 Language student test account/environment on a desktop browser (latest stable Chrome/Firefox/Safari/Edge). Student is on the Express package.</t>
  </si>
  <si>
    <t>e2e.stu.express.260908@mailinator.com / TestPass123! (Express tier) - From package = Express; To package = Power</t>
  </si>
  <si>
    <t>Objective: Express package upgrade to Power: BLOCKED
1. Log in as a student on the Express package.
2. Navigate to Upgrade / package selection.
3. Attempt to select the Power package.
4. Observe whether the upgrade is offered and, if blocked, whether an 'upgrade package suggestion' page is shown.</t>
  </si>
  <si>
    <t>Upgrading from Express to Power is not allowed - the student sees a suggested-package page instead.</t>
  </si>
  <si>
    <t>Power was correctly absent from the Express student's upgrade list (only Bronze/Silver/Gold shown).</t>
  </si>
  <si>
    <t>Minor wording note: the block works correctly, but there's no separate "suggested package" page as described - Power is simply left out of the same tier list, which functions the same way but doesn't literally match the described page.</t>
  </si>
  <si>
    <t>TC-STU-046</t>
  </si>
  <si>
    <t>Verify that Gold to Power upgrade is blocked with no suggestion page</t>
  </si>
  <si>
    <t>Verify that upgrading from Gold to Power is blocked with no suggestion page appearing at all, unlike other blocked upgrades.</t>
  </si>
  <si>
    <t>Valid E2 Language student test account/environment on a desktop browser (latest stable Chrome/Firefox/Safari/Edge). Student is on the Gold package.</t>
  </si>
  <si>
    <t>e2e.stu.gold.260908@mailinator.com / TestPass123! (Gold tier, E2L-26090822212) - From package = Gold; To package = Power</t>
  </si>
  <si>
    <t>Objective: Gold package upgrade to Power: BLOCKED
1. Log in as a student on the Gold package.
2. Navigate to Upgrade / package selection.
3. Attempt to select the Power package.
4. Observe whether the upgrade is offered and, if blocked, whether an 'upgrade package suggestion' page is shown.</t>
  </si>
  <si>
    <t>Upgrading from Gold to Power is not allowed, and unlike other blocked upgrades, no suggestion page appears at all.</t>
  </si>
  <si>
    <t>The Upgrade page returned "You are not allowed to continue the process" for the entire page - a hard block with no suggestion page, exactly as expected.</t>
  </si>
  <si>
    <t>TC-STU-047</t>
  </si>
  <si>
    <t>Verify that Power to Silver upgrade is allowed</t>
  </si>
  <si>
    <t>Verify that upgrading from Power to Silver is allowed and goes through the normal payment flow.</t>
  </si>
  <si>
    <t>Valid E2 Language student test account/environment on a desktop browser (latest stable Chrome/Firefox/Safari/Edge). Student is on the Power package.</t>
  </si>
  <si>
    <t>e2e.stu.power.260908@mailinator.com / TestPass123! (Power tier, E2L-26090817654) - From package = Power; To package = Silver</t>
  </si>
  <si>
    <t>Objective: Power package upgrade to Silver: ALLOWED
1. Log in as a student on the Power package.
2. Navigate to Upgrade / package selection.
3. Attempt to select the Silver package.
4. Observe whether the upgrade is offered and, if blocked, whether an 'upgrade package suggestion' page is shown.</t>
  </si>
  <si>
    <t>Upgrading from Power to Silver is allowed and goes through the normal payment flow.</t>
  </si>
  <si>
    <t>Silver appeared correctly in the Power student's upgrade list (alongside Gold) and was selectable.</t>
  </si>
  <si>
    <t>TC-STU-048</t>
  </si>
  <si>
    <t>Verify that Power to Bronze/Showtime/All-in upgrades are blocked</t>
  </si>
  <si>
    <t>Verify that upgrading from Power to Bronze, Showtime, or All-in is blocked, each showing the suggested-package page instead.</t>
  </si>
  <si>
    <t>e2e.stu.power.260908@mailinator.com / TestPass123! (Power tier, E2L-26090817654) - From package = Power; To package = Bronze/Showtime/All-in</t>
  </si>
  <si>
    <t>Objective: Power package upgrade to Bronze: BLOCKED
1. Log in as a student on the Power package.
2. Navigate to Upgrade / package selection.
3. Attempt to select the Bronze package.
4. Observe whether the upgrade is offered and, if blocked, whether an 'upgrade package suggestion' page is shown.</t>
  </si>
  <si>
    <t>Upgrading from Power to Bronze, Showtime, or All-in is not allowed - each shows the suggested-package page instead.</t>
  </si>
  <si>
    <t>None of Bronze, Showtime, or All-in appeared in the Power student's upgrade list (only Silver and Gold were shown).</t>
  </si>
  <si>
    <t>Same minor wording note as TC-STU-045 - the block works, but there's no separate suggestion page; the packages are simply left out of the list.</t>
  </si>
  <si>
    <t>TC-STU-049</t>
  </si>
  <si>
    <t>Verify that Showtime to Gold upgrade is allowed</t>
  </si>
  <si>
    <t>Verify that upgrading from Showtime to Gold is allowed and goes through the normal payment flow.</t>
  </si>
  <si>
    <t>Valid E2 Language student test account/environment on a desktop browser (latest stable Chrome/Firefox/Safari/Edge). Student is on the Showtime package.</t>
  </si>
  <si>
    <t>e2e.stu.showtime.260908@mailinator.com / TestPass123! (Show Time tier, E2L-26090892965) - From package = Showtime; To package = Gold</t>
  </si>
  <si>
    <t>Objective: Showtime package upgrade to Gold: ALLOWED
1. Log in as a student on the Showtime package.
2. Navigate to Upgrade / package selection.
3. Attempt to select the Gold package.
4. Observe whether the upgrade is offered and, if blocked, whether an 'upgrade package suggestion' page is shown.</t>
  </si>
  <si>
    <t>Upgrading from Showtime to Gold is allowed and goes through the normal payment flow.</t>
  </si>
  <si>
    <t>Gold appeared correctly in the Showtime student's upgrade list (alongside Silver) and was selectable.</t>
  </si>
  <si>
    <t>TC-STU-050</t>
  </si>
  <si>
    <t>Verify that All-in package cannot be upgraded to anything</t>
  </si>
  <si>
    <t>Verify that the All-in package is fully locked from upgrading, with no options working and no suggestion page appearing.</t>
  </si>
  <si>
    <t>Valid E2 Language student test account/environment on a desktop browser (latest stable Chrome/Firefox/Safari/Edge). Student is on the All-in package.</t>
  </si>
  <si>
    <t>e2e.stu.allin.260908@mailinator.com / TestPass123! (All-in tier, E2L-26090848315) - From package = All-in; To package = Bronze</t>
  </si>
  <si>
    <t>Objective: All-in package upgrade to Bronze: BLOCKED
1. Log in as a student on the All-in package.
2. Navigate to Upgrade / package selection.
3. Attempt to select the Bronze package.
4. Observe whether the upgrade is offered and, if blocked, whether an 'upgrade package suggestion' page is shown.</t>
  </si>
  <si>
    <t>All-in is fully locked - no upgrade options work from it, and no suggestion page appears at all.</t>
  </si>
  <si>
    <t>The Upgrade page returned "You are not allowed to continue the process" for the entire page - a full lock, same as Gold.</t>
  </si>
  <si>
    <t>TC-STU-051</t>
  </si>
  <si>
    <t>Verify that Tutorial Bundle package cannot be upgraded to anything</t>
  </si>
  <si>
    <t>Verify that both Tutorial Bundle tiers are fully locked from upgrading, with no options working and no suggestion page appearing.</t>
  </si>
  <si>
    <t>Valid E2 Language student test account/environment on a desktop browser (latest stable Chrome/Firefox/Safari/Edge). Student is on the Tutorial Bundle x2 package.</t>
  </si>
  <si>
    <t>e2e.stu.bundlex2.260908@mailinator.com / TestPass123! (Tutorial Bundle X2 tier, E2L-26090886428) - From package = Tutorial Bundle x2; To package = Silver</t>
  </si>
  <si>
    <t>Objective: Tutorial Bundle x2 package upgrade to Silver: BLOCKED
1. Log in as a student on the Tutorial Bundle x2 package.
2. Navigate to Upgrade / package selection.
3. Attempt to select the Silver package.
4. Observe whether the upgrade is offered and, if blocked, whether an 'upgrade package suggestion' page is shown.</t>
  </si>
  <si>
    <t>Both Tutorial Bundle tiers are fully locked - no upgrade options work, and no suggestion page appears.</t>
  </si>
  <si>
    <t>The Upgrade page returned "You are not allowed to continue the process" for the entire page - a full lock, same as Gold and All-in.</t>
  </si>
  <si>
    <t>TC-STU-052</t>
  </si>
  <si>
    <t>Verify that Express Extra to Silver upgrade is allowed</t>
  </si>
  <si>
    <t>Verify that upgrading from Express Extra to Silver is allowed and goes through the normal payment flow.</t>
  </si>
  <si>
    <t>Valid E2 Language student test account/environment on a desktop browser (latest stable Chrome/Firefox/Safari/Edge). Student is on the Express Extra package.</t>
  </si>
  <si>
    <t>e2e.stu.expressextra.260908@mailinator.com / TestPass123! (Express Extra tier, E2L-26090853782) - From package = Express Extra; To package = Silver</t>
  </si>
  <si>
    <t>Objective: Express Extra package upgrade to Silver: ALLOWED
1. Log in as a student on the Express Extra package.
2. Navigate to Upgrade / package selection.
3. Attempt to select the Silver package.
4. Observe whether the upgrade is offered and, if blocked, whether an 'upgrade package suggestion' page is shown.</t>
  </si>
  <si>
    <t>Upgrading from Express Extra to Silver is allowed and goes through the normal payment flow.</t>
  </si>
  <si>
    <t>Silver and Gold both appeared correctly in the Express Extra student's upgrade list, with correct pricing shown. Silver was selectable.</t>
  </si>
  <si>
    <t>No issues found. (Checkout itself was not completed since the payment mechanics were already fully verified in TC-STU-027/028.)</t>
  </si>
  <si>
    <t>TC-E2E-053</t>
  </si>
  <si>
    <t>Verify that Student submits an assessment (E2E step 3 of 6)</t>
  </si>
  <si>
    <t>Verify that a student's submitted assessment is accepted and shows up in the Teacher's pending marking queue, as leg 3 of the 6-step cross-role E2E flow.</t>
  </si>
  <si>
    <t>Cross-Role E2E Flow (leg 3 of 6)</t>
  </si>
  <si>
    <t>TC-E2E-001 completed (student holds a package granting access to a Writing/Speaking assessment). Student authenticated (TC-STU-001).</t>
  </si>
  <si>
    <t>kadaj29422@prorises.com
P@ssword</t>
  </si>
  <si>
    <t>1. Log in as the student.
2. Navigate to Assessments &gt; Writing/Speaking Assessments &gt; WRITING tab.
3. Expand "Write Email" and click an available attempt (e.g., ASSESSMENT #2: Write Email).
4. A modal opens with an instructional video ("*DON'T submit 2 assessments at once"). Click 5. Continue to Assessment (not Exit Assessment).
6. Complete the assessment and click the Submit button.
7. Confirm the "Do you want to submit?" prompt.
8. Click Close.</t>
  </si>
  <si>
    <t>The submission is accepted and shows up in the Teacher's pending marking queue.</t>
  </si>
  <si>
    <t>A new pending submission exists for Teacher grading. Feeds TC-E2E-004.</t>
  </si>
  <si>
    <t>Clicking the "Write Email" assessment produced no visible effect at all - no new page, no popup, nothing happened. A technical error ("SecurityError") was found in the browser's error log when the app tried to load this specific activity.</t>
  </si>
  <si>
    <t>TC-E2E-054</t>
  </si>
  <si>
    <t>Verify that Student sees their graded feedback (E2E step 5 of 6)</t>
  </si>
  <si>
    <t>Verify that the score and feedback a Teacher entered are visible to the student, as leg 5 of the 6-step cross-role E2E flow.</t>
  </si>
  <si>
    <t>Cross-Role E2E Flow (leg 5 of 6)</t>
  </si>
  <si>
    <t>TC-E2E-004 completed. Student authenticated.</t>
  </si>
  <si>
    <t>Student recent-score/summary view (exact URL PLACEHOLDER - see the TC-D153-style 'recent score' view)</t>
  </si>
  <si>
    <t>1. Log in as the student.
2. Click on the Assessment( Writting ) and click on the Email
3. Navigate to the recent score/summary view or the specific assessment's result page. 
4. Click on Assessment</t>
  </si>
  <si>
    <t>The score and feedback the Teacher entered are visible to the student.</t>
  </si>
  <si>
    <t>Student-visible feedback loop confirmed. Feeds TC-E2E-006.</t>
  </si>
  <si>
    <t>Not tested - there is no submission to grade, because the student could never submit the Write Email assessment (see TC-E2E-003).</t>
  </si>
  <si>
    <t>TC-STU-055</t>
  </si>
  <si>
    <t>Verify that Student requests a password reset email</t>
  </si>
  <si>
    <t>Verify that a student can request a password reset and a reset email is actually sent.</t>
  </si>
  <si>
    <t>Student account exists; no active session.</t>
  </si>
  <si>
    <t>Real registered student email, e.g. e2e.stu.free.260908@mailinator.com (any active account email works)</t>
  </si>
  <si>
    <t>https://azdopl-rc-main.e2language.com/Account/Login -&gt; click 'Forgot your password?' link (redirects through Azure AD B2C auth-rcv2.e2language.com, policy B2C_1A_signup_signin). NOTE: NOT the adminapp URL.</t>
  </si>
  <si>
    <t>1. On the login page, click 'Forgot your password?' (exact link text PLACEHOLDER).
2. Enter the student's email address.
3. Submit the request.</t>
  </si>
  <si>
    <t>A password-reset email is sent to the student.</t>
  </si>
  <si>
    <t>A 6-digit verification code arrived by email within seconds of submitting the request.</t>
  </si>
  <si>
    <t>No issues found. Note: the reset link is actually on the main student login page, not the Admin app page originally listed in this test case - the test case's URL should be updated.</t>
  </si>
  <si>
    <t>TC-STU-056</t>
  </si>
  <si>
    <t>Verify that Student resets password via email link</t>
  </si>
  <si>
    <t>Verify that a student can reset their password via the emailed link, after which the old password stops working.</t>
  </si>
  <si>
    <t>TC-STU-055 completed; a reset email has been sent.</t>
  </si>
  <si>
    <t>6-digit OTP verification code delivered by email (NOT a link - see nuance note); new password meeting policy, e.g. NewTestPass456!</t>
  </si>
  <si>
    <t>Same B2C forgot-password flow as TC-STU-055. After 'Send verification code', enter the emailed OTP in the 'Secondary Verification Code' field, then set New Password/Confirm New Password.</t>
  </si>
  <si>
    <t>1. Open the password-reset email.
2. Click the reset link.
3. Enter and confirm a new password.
4. Submit.
5. Log in with the new password.</t>
  </si>
  <si>
    <t>The student can log in with the new password; the old password stops working.</t>
  </si>
  <si>
    <t>Entering the emailed code, then setting a new password, worked correctly. Logging in afterward with the new password succeeded, and the old password was correctly rejected.</t>
  </si>
  <si>
    <t>Wording note: this is a 6-digit code typed into the page, not a clickable link as originally described in the test case - the wording should be corrected.</t>
  </si>
  <si>
    <t>TC-STU-057</t>
  </si>
  <si>
    <t>Verify that Password reset doesn't reveal whether an email exists</t>
  </si>
  <si>
    <t>Verify that requesting a password reset shows the same message whether or not the email is registered, so no account information leaks.</t>
  </si>
  <si>
    <t>Account &amp; Security - Password Reset (negative)</t>
  </si>
  <si>
    <t>No active session.</t>
  </si>
  <si>
    <t>An email address NOT registered in the system, e.g. e2e.notreal.260908@mailinator.com</t>
  </si>
  <si>
    <t>Same B2C forgot-password flow as TC-STU-055 (azdopl-rc-main.e2language.com login page &gt; Forgot your password?).</t>
  </si>
  <si>
    <t>1. On the login page, click 'Forgot your password?'.
2. Enter an email address that is not registered.
3. Submit the request.</t>
  </si>
  <si>
    <t>Requesting a password reset shows the same message whether or not the email is registered, so no account information leaks.</t>
  </si>
  <si>
    <t>No reset email is actually sent for the non-existent address.</t>
  </si>
  <si>
    <t>The identical "verification code sent" message appeared for both a real and a made-up email address - no difference that would reveal whether an account exists.</t>
  </si>
  <si>
    <t>No issues found. Note: the code-sending step occasionally failed with a generic server error for both real and fake emails at about the same rate - this looks like general reliability flakiness rather than an information leak.</t>
  </si>
  <si>
    <t>TC-STU-058</t>
  </si>
  <si>
    <t>Verify that Student changes their password while logged in</t>
  </si>
  <si>
    <t>Verify that a logged-in student can change their password, with the update taking effect immediately and required on future logins.</t>
  </si>
  <si>
    <t>Account &amp; Security - Change Password</t>
  </si>
  <si>
    <t>Authenticated as Student.</t>
  </si>
  <si>
    <t>New password meeting policy (current-password field does NOT exist in the real modal, contrary to prior wording)</t>
  </si>
  <si>
    <t>Student app &gt; user-menu &gt; My Account &gt; Account Settings (accordion) &gt; RESET PASSWORD button &gt; 'Change Password' modal. Modal is gated by a Google reCAPTCHA checkbox.</t>
  </si>
  <si>
    <t>1. Navigate to My Account.
2. Locate Change Password (exact menu path PLACEHOLDER - not captured; My Account is confirmed to exist as it also hosts the Extend entry point used elsewhere in this suite).
3. Enter current password and new password.
4. Submit.</t>
  </si>
  <si>
    <t>The password updates immediately, and future logins need the new password.</t>
  </si>
  <si>
    <t>The "Change Password" popup requires completing a "I'm not a robot" (CAPTCHA) check before it can be submitted.</t>
  </si>
  <si>
    <t>Cannot be tested by automation, per the standing rule against completing CAPTCHAs. Note: the popup only has New Password and Confirm New Password fields - there is no "current password" field, unlike what the test case originally described.</t>
  </si>
  <si>
    <t>TC-STU-059</t>
  </si>
  <si>
    <t>Verify that Student updates their profile settings</t>
  </si>
  <si>
    <t>Verify that a student can update their profile settings and the changes are saved successfully.</t>
  </si>
  <si>
    <t>N/A - editing existing profile fields (e.g. Country of Origin, First Language) on the Bronze IELTS Academic seed account</t>
  </si>
  <si>
    <t>Student app &gt; user-menu &gt; Student Profile (distinct page from 'My Account'). Fields include First Name, Last Name, Country of Residence, Country of Origin (typeahead), Time Zone, First Language (required), Previous Achieved Score, Next Exam Date, Target Score.</t>
  </si>
  <si>
    <t>1. Navigate to My Account.
2. Review/edit profile fields (exact fields PLACEHOLDER - not itemized in findings; standard fields expected: name, email, country, phone).
3. Save.</t>
  </si>
  <si>
    <t>Saving with all required fields filled in showed "Data has been saved," and re-opening the profile confirmed the new Country of Origin, Time Zone, and First Language all persisted correctly.</t>
  </si>
  <si>
    <t>Observation: if a required field like First Language is left blank, the page can look like it saved (it redirects with no error) but the change is not actually kept until the missing field is filled in. Worth a clearer error message here.</t>
  </si>
  <si>
    <t>TC-STU-060</t>
  </si>
  <si>
    <t>Verify that Student logs into Content Tool directly</t>
  </si>
  <si>
    <t>Verify that a student can log into Content Tool directly using its own separate account, not through E2 Language.</t>
  </si>
  <si>
    <t>Content Tool - Login (CT Direct)</t>
  </si>
  <si>
    <t>Valid E2 Language student test account/environment on a desktop browser (latest stable Chrome/Firefox/Safari/Edge). Student has a native Content Tool account (integration or non-integration type).</t>
  </si>
  <si>
    <t>Native Content Tool credentials (separate credential store from E2 Language) - not available to this test suite; needs to be provisioned separately.</t>
  </si>
  <si>
    <t>No working entry point found live in this environment. Attempted Assessments &gt; Mock Test &gt; Start Test (IELTS Academic) - produced no observable effect (no navigation/new tab/modal), same symptom as the TC-E2E-003 Write Email button defect.</t>
  </si>
  <si>
    <t>1. Reach the Content Tool login screen (e.g. via an activity requiring CT).
2. Enter the native CT account's username/password.
3. Submit.</t>
  </si>
  <si>
    <t>The student logs into Content Tool using its own separate account, not through E2 Language.</t>
  </si>
  <si>
    <t>Clicking "Start Test" on a Mock Test produced no visible effect at all - no new page, no popup, nothing happened, so the Content Tool login screen could never be reached.</t>
  </si>
  <si>
    <t>Defect: the activity-launch button does not work, the same root issue confirmed in TC-E2E-003. Also needs separate Content Tool login credentials, which are not available.</t>
  </si>
  <si>
    <t>TC-STU-061</t>
  </si>
  <si>
    <t>Verify that Student logs into Content Tool via username/password SSO</t>
  </si>
  <si>
    <t>Verify that clicking the SSO button logs a student into Content Tool using their E2 Language username and password.</t>
  </si>
  <si>
    <t>Content Tool - Login (SSO, username/password)</t>
  </si>
  <si>
    <t>Valid E2 Language student test account/environment on a desktop browser (latest stable Chrome/Firefox/Safari/Edge). Student's integrated system (E2 Language) has registered an SSO webhook with Content Tool and configured the provider in the Azure AD B2C TrustFrameworkBase custom policy (confirmed mechanism per wiki).</t>
  </si>
  <si>
    <t>N/A - uses existing E2 Language username/password once SSO redirect triggers</t>
  </si>
  <si>
    <t>Same blocker as TC-STU-060 - no working Content Tool activity entry point found live in this environment to trigger the SSO redirect.</t>
  </si>
  <si>
    <t>1. Open a Content Tool activity from within E2 Language.
2. Click the SSO login button.
3. Confirm redirect to E2 Language's own username/password login (not a separate CT credential).
4. Log in.</t>
  </si>
  <si>
    <t>Clicking the SSO button logs the student into Content Tool using their E2 Language username and password.</t>
  </si>
  <si>
    <t>No Content Tool activity could be opened at all - the same broken activity-launch button found in TC-STU-060, so this login step was never reached.</t>
  </si>
  <si>
    <t>Defect: same broken activity-launch button as TC-STU-060.</t>
  </si>
  <si>
    <t>TC-STU-062</t>
  </si>
  <si>
    <t>Verify that Student logs into Content Tool via Google/Facebook SSO</t>
  </si>
  <si>
    <t>Verify that clicking the SSO button logs a student into Content Tool using their Google or Facebook account.</t>
  </si>
  <si>
    <t>Content Tool - Login (SSO, social login)</t>
  </si>
  <si>
    <t>Valid E2 Language student test account/environment on a desktop browser (latest stable Chrome/Firefox/Safari/Edge). Student's E2 Language account uses Google or Facebook social login.</t>
  </si>
  <si>
    <t>N/A - real Google/Facebook OAuth consent screen (excluded per standing rule)</t>
  </si>
  <si>
    <t>Same blocker as TC-STU-060, additionally excluded as real third-party OAuth (Manual Only).</t>
  </si>
  <si>
    <t>1. Open a Content Tool activity from within E2 Language.
2. Click the SSO login button.
3. Confirm redirect to E2 Language's Google/Facebook social login.
4. Complete the social login.</t>
  </si>
  <si>
    <t>Clicking the SSO button logs the student into Content Tool using their Google or Facebook account.</t>
  </si>
  <si>
    <t>Not attempted - this needs both a working activity-launch button (see TC-STU-060) and a real Google/Facebook login, which automated testing does not complete.</t>
  </si>
  <si>
    <t>Blocked for two reasons: the broken activity-launch button, and the standing rule against completing real third-party logins. Suitable for manual testing only.</t>
  </si>
  <si>
    <t>TC-STU-063</t>
  </si>
  <si>
    <t>Verify that Eligible free students auto-log into Content Tool</t>
  </si>
  <si>
    <t>Verify that eligible free CELPIP, GRE, or SAT students are logged into Content Tool automatically, with no password needed.</t>
  </si>
  <si>
    <t>Valid E2 Language student test account/environment on a desktop browser (latest stable Chrome/Firefox/Safari/Edge). Student just registered as a FREE CELPIP, GRE, or SAT student on E2V2 (ROPC is scoped exclusively to these three exam types, per wiki - NOT IELTS/OET/PTE/TOEFL).</t>
  </si>
  <si>
    <t>Free CELPIP, GRE, or SAT package (not present among current seed accounts, all PTE Core/IELTS Academic) - can be Admin-created, but see URL note.</t>
  </si>
  <si>
    <t>Same blocker as TC-STU-060 - no working Content Tool activity entry point found live in this environment to observe the ROPC auto-login even after creating an eligible account.</t>
  </si>
  <si>
    <t>1. Register/log in as a free CELPIP, GRE, or SAT student.
2. Open a Content Tool activity.
3. Confirm no second login prompt appears - the student should reach the CT activity directly.</t>
  </si>
  <si>
    <t>Free CELPIP, GRE, or SAT students are logged into Content Tool automatically, with no password needed.</t>
  </si>
  <si>
    <t>No CELPIP, GRE, or SAT test account exists in this environment (all current accounts are PTE Core or IELTS Academic), and no working activity-launch button was found to test this even if one did.</t>
  </si>
  <si>
    <t>Needs a CELPIP/GRE/SAT test account, and is also blocked by the broken activity-launch button seen in TC-STU-060.</t>
  </si>
  <si>
    <t>TC-STU-064</t>
  </si>
  <si>
    <t>Verify that Auto-login to Content Tool doesn't apply to other exam types</t>
  </si>
  <si>
    <t>Verify that auto-login to Content Tool does NOT apply to a free PTE (or IELTS/OET/TOEFL) student, who should see a normal login step instead.</t>
  </si>
  <si>
    <t>Content Tool - Login (ROPC scope negative check)</t>
  </si>
  <si>
    <t>Valid E2 Language student test account/environment on a desktop browser (latest stable Chrome/Firefox/Safari/Edge). Student is a free PTE (or IELTS/OET/TOEFL) student - NOT CELPIP/GRE/SAT.</t>
  </si>
  <si>
    <t>Free PTE (or IELTS/OET/TOEFL) package - e2e.stu.free.260908@mailinator.com (IELTS Academic Bronze) qualifies as a non-ROPC-eligible account.</t>
  </si>
  <si>
    <t>Same blocker as TC-STU-060 - no working Content Tool activity entry point found live in this environment on the non-ROPC-eligible account.</t>
  </si>
  <si>
    <t>1. Register/log in as a free PTE student.
2. Open a Content Tool activity.
3. Observe whether ROPC auto-login triggers.</t>
  </si>
  <si>
    <t>A free PTE (or IELTS/OET/TOEFL) student should not be auto-logged in - they should see a normal login step instead.</t>
  </si>
  <si>
    <t>Using an eligible non-ROPC account (IELTS Academic Bronze), no Content Tool login screen of any kind could be reached - the same broken activity-launch button found in TC-STU-060 blocked this step too.</t>
  </si>
  <si>
    <t>TC-STU-065</t>
  </si>
  <si>
    <t>Verify that Student submits a Writing practice activity</t>
  </si>
  <si>
    <t>Verify that a student's Writing Task 1 submission goes through and is scored by the AI without errors.</t>
  </si>
  <si>
    <t>AI Practice Activity - Writing/Speaking</t>
  </si>
  <si>
    <t>Account: e2e.stu.free.260908@mailinator.com (IELTS Academic Bronze, paid tier); Activity: Writing Task 1 practice 'Practice: One Line Graph'; response entered directly into the activity iframe's textarea (~124 words, on-topic) via JS since the iframe's fixed height clips the textarea from normal view/scroll.</t>
  </si>
  <si>
    <t>https://azdopl-rc-main.e2language.com/Student/Home &gt; Online Classes &gt; IELTS Academic &gt; Writing &gt; Writing Task 1 &gt; 'Practice: One Line Graph' (activity itself renders inline in a same-origin iframe .inline-activity-iframe.ielts-iframe, no separate deep-link URL)</t>
  </si>
  <si>
    <t>1. Open a Writing Task 1 practice activity.
2. Compose/record an on-topic response.
3. Submit the response for AI scoring.</t>
  </si>
  <si>
    <t>The student's Writing Task 1 response submits successfully and is scored by the AI without errors.</t>
  </si>
  <si>
    <t>A submitted response awaiting/receiving AI score.</t>
  </si>
  <si>
    <t>Submitted a 124-word on-topic response successfully. The question indicator turned green ("Answered") and a confirmation popup appeared before final submission.</t>
  </si>
  <si>
    <t>Observation: the activity's answer box is shown inside a panel with a fixed height that cuts it off on a normal screen, making the text field hard to reach without scrolling awkwardly - worth a layout fix so students on smaller screens aren't blocked from typing their answer.</t>
  </si>
  <si>
    <t>TC-STU-066</t>
  </si>
  <si>
    <t>Verify that AI score report displays correctly</t>
  </si>
  <si>
    <t>Verify that the AI-generated score report for a Writing activity displays a full score and criteria breakdown.</t>
  </si>
  <si>
    <t>Same account/activity as TC-STU-065. AI-generated score report returned automatically after submission: Overall Band Score 7, Skill Level 'Good', with per-criterion feedback for Task Achievement, Coherence &amp; Cohesion, Lexical Resource, and Grammatical Range &amp; Accuracy (IELTS band-descriptor language).</t>
  </si>
  <si>
    <t>Same page as TC-STU-065 - score report renders inline in the same activity iframe immediately after the 'One-Time Submission Only' confirmation, no separate URL.</t>
  </si>
  <si>
    <t>1. Submit a Writing Task 1 practice response.
2. Wait for AI scoring to complete.
3. Open the resulting score report.</t>
  </si>
  <si>
    <t>The AI-generated score report for the Writing activity shows a full score and criteria breakdown.</t>
  </si>
  <si>
    <t>A complete report appeared automatically: an overall Band Score (7), a Skill Level ("Good"), and detailed feedback for each of the four scoring criteria.</t>
  </si>
  <si>
    <t>No issues found. Confirms the automatic scoring feature works correctly end-to-end.</t>
  </si>
  <si>
    <t>TC-STU-067</t>
  </si>
  <si>
    <t>Verify that Student joins a live class</t>
  </si>
  <si>
    <t>Verify that clicking Join on a live class opens the session, delivered via Zoom.</t>
  </si>
  <si>
    <t>Valid E2 Language student test account/environment on a desktop browser (latest stable Chrome/Firefox/Safari/Edge). Student is registered for an in-progress/starting live class (requires TC-ADM-012 setup).</t>
  </si>
  <si>
    <t>BLOCKED - precondition requires Admin &gt; Live Class &gt; Scheduler (TC-ADM-012) to create a scheduled Live Class first. Admin session was stuck in an unrecoverable Azure AD B2C login redirect loop (title 'Logging in...', URL cycling with new nonces) throughout this run.</t>
  </si>
  <si>
    <t>https://azdopl-rc-adminapp.e2language.com/LiveClass/Scheduler (unreachable this run - auth redirect loop)</t>
  </si>
  <si>
    <t>1. Log in as a student registered for an in-progress/starting live class.
2. Join the class via Dashboard.
3. Confirm the live class session opens.</t>
  </si>
  <si>
    <t>Clicking Join opens the live class session (delivered via Zoom).</t>
  </si>
  <si>
    <t>Could not set up the required live class: the Admin panel got stuck in a login loop this session and never finished loading the Live Class scheduling page.</t>
  </si>
  <si>
    <t>Needs the Admin panel's login issue resolved, then a live class scheduled, before this can be tested.</t>
  </si>
  <si>
    <t>TC-STU-068</t>
  </si>
  <si>
    <t>Verify that Free student can't unregister from a live class</t>
  </si>
  <si>
    <t>Verify that a free-package student attempting to unregister from a live class is blocked, with an explanatory message.</t>
  </si>
  <si>
    <t>Valid E2 Language student test account/environment on a desktop browser (latest stable Chrome/Firefox/Safari/Edge). Student is on a free package, registered for an upcoming live class.</t>
  </si>
  <si>
    <t>BLOCKED - same root cause as TC-STU-067; a scheduled Live Class must exist via Admin before a free-package student's registration/unregistration attempt can be exercised.</t>
  </si>
  <si>
    <t>1. Log in as a student (free package).
2. Register for an upcoming live class via Live Class menu.
3. Attempt to unregister where the student is on a free package.
4. Observe the system's response.</t>
  </si>
  <si>
    <t>A free-package student trying to unregister from a live class is blocked, with a message explaining why.</t>
  </si>
  <si>
    <t>Same root cause as TC-STU-067 - no live class could be scheduled to register for in the first place, because the Admin panel was stuck in a login loop.</t>
  </si>
  <si>
    <t>TC-STU-069</t>
  </si>
  <si>
    <t>Verify that Paid student watches a recorded class</t>
  </si>
  <si>
    <t>Verify that a paid student can play a recorded class, which then moves from the Unwatched tab to the Watched tab.</t>
  </si>
  <si>
    <t>Recorded Class</t>
  </si>
  <si>
    <t>Valid E2 Language student test account/environment on a desktop browser (latest stable Chrome/Firefox/Safari/Edge). Paid student account.</t>
  </si>
  <si>
    <t>Account: e2e.stu.free.260908@mailinator.com (IELTS Academic Bronze, paid tier). Recorded Class 'Skill Building: Robots' (Start Date 01-Jun-2026) present under UNWATCHED; clicking Watch moved it to the WATCHED tab, confirmed by re-checking both tabs.</t>
  </si>
  <si>
    <t>https://azdopl-rc-main.e2language.com/Student/Home &gt; Online Classes &gt; Recorded Classes</t>
  </si>
  <si>
    <t>1. Log in as a paid student.
2. Navigate to Recorded Classes.
3. Switch to the Watched tab.
4. Play a recording from the list.</t>
  </si>
  <si>
    <t>A paid student can play a recorded class, and it moves from the Unwatched tab to the Watched tab afterward.</t>
  </si>
  <si>
    <t>Clicked Watch on a recording ("Skill Building: Robots") and it moved correctly from Unwatched to Watched, confirmed by checking both tabs.</t>
  </si>
  <si>
    <t>TC-STU-070</t>
  </si>
  <si>
    <t>Verify that Free student is blocked from recorded classes</t>
  </si>
  <si>
    <t>Verify that a free student attempting to watch a recorded class is redirected to the Upgrade page instead of the video player.</t>
  </si>
  <si>
    <t>Valid E2 Language student test account/environment on a desktop browser (latest stable Chrome/Firefox/Safari/Edge). Free-tier account.</t>
  </si>
  <si>
    <t>BLOCKED - no working free-tier verified account available: both seed free accounts (e2e.stu.free.260908, e2e.stu.free2.260908) were already upgraded to paid in earlier testing; new-signup attempts with @mailinator.com and @yopmail.com were both rejected by the email validator ('An error occurred while validating the email address...' for yopmail, matching the pre-existing mailinator bug from TC-STU-008); a signup with @example.com succeeded but leaves the account permanently stuck behind a 'Your course needs verification' gate (no real inbox to verify) that blocks all navigation including Recorded Classes. Recommend a real receivable non-disposable test-email domain or a pre-verified free-tier fixture account for future runs.</t>
  </si>
  <si>
    <t>https://signup.e2language.com/Registration/Free?examTypeCode=PTE (signup) &gt; https://app.e2language.com/Registration/PostFreeRegistration (onboarding) &gt; Online Classes &gt; Recorded Classes (blocked by verification gate)</t>
  </si>
  <si>
    <t>1. Log in as a free student.
2. Navigate to Recorded Classes.
3. Attempt to play a premium (non-free) recording.</t>
  </si>
  <si>
    <t>A free student trying to watch a recorded class is redirected to the Upgrade page instead of the video player.</t>
  </si>
  <si>
    <t>No usable free-tier account was available to test with: the existing free test accounts had already been upgraded to paid; sign-up attempts using common disposable test-email addresses (@mailinator.com, @yopmail.com) were both rejected by the sign-up form; and a sign-up using a made-up email address got stuck behind a "please verify your email" screen with no real inbox to receive the verification link.</t>
  </si>
  <si>
    <t>Needs either a real, working test-email address that isn't on a blocked disposable-domain list, or a pre-verified free-tier test account provided ready to use.</t>
  </si>
  <si>
    <t>TC-STU-071</t>
  </si>
  <si>
    <t>Verify that Student plays a podcast episode</t>
  </si>
  <si>
    <t>Verify that a student can play an embedded podcast episode in-page without errors.</t>
  </si>
  <si>
    <t>Podcast</t>
  </si>
  <si>
    <t>Account: IELTS Academic Bronze (e2e.stu.free.260908@mailinator.com). Podcasts page's embedded Spotify player shows 'Sorry, that's not currently available in your region. Luckily, lots of other stuff is.' with a 'Discover more' button - a Spotify-side geographic restriction on the embed, not an app defect.</t>
  </si>
  <si>
    <t>https://azdopl-rc-main.e2language.com/Student/Home &gt; Online Classes &gt; Podcasts</t>
  </si>
  <si>
    <t>1. Log in as a student.
2. Navigate to Podcasts.
3. Play an episode via the embedded Spotify player.</t>
  </si>
  <si>
    <t>The embedded podcast plays in-page without errors.</t>
  </si>
  <si>
    <t>The embedded player (powered by Spotify) showed "Sorry, that's not currently available in your region" instead of playing.</t>
  </si>
  <si>
    <t>This is a restriction from Spotify itself based on the tester's region, not a problem with the E2 Language app. Would need testing from a different network region to confirm the player itself works.</t>
  </si>
  <si>
    <t>TC-STU-072</t>
  </si>
  <si>
    <t>Verify that Student completes the Score Calculator (V2)</t>
  </si>
  <si>
    <t>Verify that a student can complete the newer Score Calculator (V2) and receive a score report.</t>
  </si>
  <si>
    <t>Score Calculator</t>
  </si>
  <si>
    <t>Account: IELTS Academic Bronze. Listening (multiple choice, multi-select, drag-and-drop gap-fill), Reading (paragraph-matching matrix, multiple choice, text-gap summary), and Writing (100-150 word response, verified at 124 words) sections all completed successfully with no defects. Speaking section requires live getUserMedia microphone recording ('Record' / 'Upload' buttons); this automation environment has no functioning microphone, so the Next button never durably enabled and the final score report could not be generated.</t>
  </si>
  <si>
    <t>https://azdopl-rc-main.e2language.com/Student/ScoreCalculator (landing 'Start Test' button (#btn-start) is non-responsive to programmatic click; worked around by navigating directly to its data-url) &gt; System Requirement Checker &gt; Listening &gt; Reading &gt; Writing &gt; Speaking (blocked)</t>
  </si>
  <si>
    <t>1. Log in as a student.
2. Open the Score Calculator (V2).
3. Complete all required sections.
4. Submit and view the resulting score report.</t>
  </si>
  <si>
    <t>The student finishes the newer Score Calculator (V2) and gets a score report.</t>
  </si>
  <si>
    <t>Listening, Reading, and Writing were all completed successfully with no problems. The Speaking section requires recording audio through the browser's microphone, which this automated test environment does not have - so this last step could not be completed and no final report was generated.</t>
  </si>
  <si>
    <t>Not an application defect - three of the four sections work correctly. This last section needs to be tested manually with a real microphone.</t>
  </si>
  <si>
    <t>TC-STU-073</t>
  </si>
  <si>
    <t>Verify that Student completes the Score Calculator (V1)</t>
  </si>
  <si>
    <t>Verify that a student can complete the older Score Calculator (V1) and receive a score report.</t>
  </si>
  <si>
    <t>Not separately executed this run due to time constraints; V1 is expected to share the same Speaking/microphone-recording blocker documented for V2 in TC-STU-072 rather than a version-specific issue. Recommend a follow-up pass with a real microphone-equipped browser session to confirm both V1 and V2 end-to-end.</t>
  </si>
  <si>
    <t>Score Calculator V1 entry point - not reached this run</t>
  </si>
  <si>
    <t>1. Log in as a student.
2. Open the Score Calculator (V1).
3. Complete all required sections.
4. Submit and view the resulting score report.</t>
  </si>
  <si>
    <t>The student finishes the older Score Calculator (V1) and gets a score report.</t>
  </si>
  <si>
    <t>Not attempted this round due to time - V1 is expected to hit the same microphone/Speaking-section limitation found in TC-STU-072, since it's not a version-specific feature.</t>
  </si>
  <si>
    <t>Recommend testing this with a real microphone in the same pass as TC-STU-072.</t>
  </si>
  <si>
    <t>TC-STU-074</t>
  </si>
  <si>
    <t>Verify that IELTS Academic students can't recreate their Study Pathway</t>
  </si>
  <si>
    <t>Verify that a student already on IELTS Academic cannot create a second Study Pathway once one already exists.</t>
  </si>
  <si>
    <t>Study Pathway</t>
  </si>
  <si>
    <t>Valid E2 Language student test account/environment on a desktop browser (latest stable Chrome/Firefox/Safari/Edge). Student enrolled in IELTS Academic.</t>
  </si>
  <si>
    <t>Account: IELTS Academic Bronze. Study Pathway widget (8-step pathway) inspected in full; Listening skill-set reached 14% after completing its 'Extended Overview' video. No 'recreate', 'reset', or 'restart pathway' action was discoverable anywhere in the current Study Pathway UI to attempt against.</t>
  </si>
  <si>
    <t>https://azdopl-rc-main.e2language.com/Student/Home (Study Pathway widget)</t>
  </si>
  <si>
    <t>1. Log in as a student enrolled in IELTS Academic.
2. Complete (or partially complete) the Study Pathway.
3. Attempt to re-create/reset the Study Pathway.</t>
  </si>
  <si>
    <t>A student on IELTS Academic cannot create a new Study Pathway once one already exists.</t>
  </si>
  <si>
    <t>No "recreate," "reset," or "restart" option could be found anywhere in the Study Pathway screen to even attempt this against.</t>
  </si>
  <si>
    <t>Needs engineering to confirm where this action lives in the interface, if it exists at all.</t>
  </si>
  <si>
    <t>TC-STU-075</t>
  </si>
  <si>
    <t>Verify that Completing a skill set unlocks the next one</t>
  </si>
  <si>
    <t>Verify that finishing one skill set in the Study Pathway unlocks the next one.</t>
  </si>
  <si>
    <t>Account: IELTS Academic Bronze. Attempted to complete Listening's practice sub-items (e.g. 'Practice 1: Note Completion') to test whether Reading subsequently unlocks; clicking these links produced no observable effect (no navigation/modal/new tab). Observation: Reading (0% Completed) was already visible and independently expandable alongside Listening (14%) with no lock icon, though this could not be conclusively confirmed given the broken practice links.</t>
  </si>
  <si>
    <t>https://azdopl-rc-main.e2language.com/Student/Home &gt; Study Pathway &gt; Listening &gt; practice sub-items (links non-functional)</t>
  </si>
  <si>
    <t>1. Log in as a student enrolled in IELTS Academic.
2. Complete a Study Pathway skill set.
3. Attempt to access the next skill set in the sequence.</t>
  </si>
  <si>
    <t>Finishing one skill set in the Study Pathway unlocks the next one.</t>
  </si>
  <si>
    <t>Clicking individual practice items inside a skill set (e.g. "Practice 1: Note Completion") had no effect at all - nothing opened. This made it impossible to actually finish a skill set to test the unlock behavior.</t>
  </si>
  <si>
    <t>Defect: the practice-item links inside Study Pathway do not open anything. Separately noticed that the next skill set (Reading) was already visible and clickable in the sidebar without a lock icon, which hints unlocking may not be strictly enforced - but this couldn't be confirmed while the links themselves are broken.</t>
  </si>
  <si>
    <t>TC-STU-076</t>
  </si>
  <si>
    <t>Verify that Student completes a sample practice activity</t>
  </si>
  <si>
    <t>Verify that a sample practice activity opens and submits successfully.</t>
  </si>
  <si>
    <t>Sample Practice Activity</t>
  </si>
  <si>
    <t>Account: IELTS Academic Bronze. Same non-functional practice-item links as TC-STU-075 blocked opening any Study Pathway sample activity. Note: a Writing Task 1 practice activity WAS completed successfully end-to-end via a different entry point (TC-STU-065/066), confirming the underlying practice/AI-scoring pipeline works - the defect is specific to Study Pathway's own links.</t>
  </si>
  <si>
    <t>https://azdopl-rc-main.e2language.com/Student/Home &gt; Study Pathway &gt; practice activity links (non-functional)</t>
  </si>
  <si>
    <t>1. Log in as a student.
2. Open a practice activity for IELTS Academic.
3. Submit a sample response end-to-end.</t>
  </si>
  <si>
    <t>A sample practice activity opens and submits successfully.</t>
  </si>
  <si>
    <t>Clicking practice-item links inside Study Pathway had no effect (same issue as TC-STU-075), so no activity could be opened from there.</t>
  </si>
  <si>
    <t>Defect: same broken Study Pathway links as TC-STU-075. Note a Writing practice activity WAS completed successfully through a different entry point (see TC-STU-065/066), so the underlying practice/scoring system does work - the problem is specific to Study Pathway's own links to those activities.</t>
  </si>
  <si>
    <t>TC-STU-077</t>
  </si>
  <si>
    <t>Verify that Video tooltips show on non-IELTS Academic lessons</t>
  </si>
  <si>
    <t>Verify that students not on IELTS Academic see helpful video tooltips on their lesson tiles.</t>
  </si>
  <si>
    <t>Video Tooltips</t>
  </si>
  <si>
    <t>Valid E2 Language student test account/environment on a desktop browser (latest stable Chrome/Firefox/Safari/Edge). Student enrolled in Non-IELTS Academic.</t>
  </si>
  <si>
    <t>BLOCKED - requires a logged-in student account on a non-IELTS-Academic exam type (e.g. PTE Core); no such account remained logged in this session and setting one up would require a full additional login/onboarding cycle. Deferred as a follow-up due to time constraints.</t>
  </si>
  <si>
    <t>Not reached this run - would need a PTE Core (or other non-IELTS-Academic) account's Course Materials pages</t>
  </si>
  <si>
    <t>1. Log in as a student enrolled in Non-IELTS Academic.
2. Navigate to Course Materials.
3. Hover/check lesson tiles for video tooltips.</t>
  </si>
  <si>
    <t>Students not on IELTS Academic see helpful video tooltips on their lesson tiles.</t>
  </si>
  <si>
    <t>Not attempted this round - no non-IELTS-Academic account was available and logged in at the time, and setting one up would need a full extra registration/onboarding pass.</t>
  </si>
  <si>
    <t>Straightforward to pick up in a follow-up session - just needs a fresh login on a PTE Core (or similar) account.</t>
  </si>
  <si>
    <t>TC-STU-078</t>
  </si>
  <si>
    <t>Verify that WooCommerce course purchase syncs to the student's account</t>
  </si>
  <si>
    <t>Verify that a course purchased through WooCommerce correctly unlocks access on the student's E2 Language account.</t>
  </si>
  <si>
    <t>Cross-Platform / Course Purchase Integration</t>
  </si>
  <si>
    <t>Valid E2 Language test environment; WooCommerce sandbox/test payment method.</t>
  </si>
  <si>
    <t>BLOCKED - requires completing a real or sandbox checkout on the external WooCommerce/Shopify storefront (course e2english). Per this engagement's standing operating rules, payment/financial credentials are never entered and no financial transaction is executed without explicit per-action user confirmation. Needs either explicit user authorization for a specific test-card checkout attempt, or a pre-built 'purchase already completed' fixture from engineering so only the E2-Language-side sync can be verified.</t>
  </si>
  <si>
    <t>https://e2-staging-store.myshopify.com/ (storefront - checkout not attempted)</t>
  </si>
  <si>
    <t>1. Initiate an e2english purchase through the WooCommerce storefront.
2. Complete checkout (sandbox/test payment method only).
3. Confirm access is provisioned on the E2 Language side.</t>
  </si>
  <si>
    <t>Buying a course through WooCommerce correctly unlocks access on the student's E2 Language account.</t>
  </si>
  <si>
    <t>Not attempted - this requires entering real or sandbox payment details on an external checkout, which is not done without the user's specific go-ahead each time.</t>
  </si>
  <si>
    <t>Needs either explicit approval to attempt a sandbox test-card purchase, or a pre-completed purchase from engineering so only the account-syncing part needs checking.</t>
  </si>
  <si>
    <t>TC-STU-079</t>
  </si>
  <si>
    <t>Verify that Student signs up using a Google account</t>
  </si>
  <si>
    <t>Verify that a student can sign up using their Google account instead of typing an email and password, then complete the normal registration steps and land on the dashboard.</t>
  </si>
  <si>
    <t>Student Workflow - Registration (Social Sign Up)</t>
  </si>
  <si>
    <t>No existing E2 Language account linked to the Google account being used. A dedicated test Google account is available (not a tester's personal account). PLACEHOLDER: confirm a 'Sign up with Google' option is present on the desktop Registration/Sign Up page before executing - confirmed present on Mobile (TC-MOB-009 source note) but not independently re-checked on desktop this pass.</t>
  </si>
  <si>
    <t>A dedicated test Google account (no MFA enabled, to avoid blocking automation with a 2FA prompt).</t>
  </si>
  <si>
    <t>https://signup.e2language.com/Registration/SignUp (or any Registration entry point offering a social sign-up option - exact button placement PLACEHOLDER, confirm at execution)</t>
  </si>
  <si>
    <t>1. Navigate to a Registration/Sign Up page.
2. Click 'Sign up with Google' (exact button label PLACEHOLDER - confirm at execution).
3. Choose the test Google account and accept the consent screen.
4. Complete any remaining E2 Language registration steps (exam type/package selection, payment if the package is paid).</t>
  </si>
  <si>
    <t>The student can create their E2 Language account using their Google account instead of typing an email and password, then completes the normal registration steps (exam type, package, payment if required) and lands on the dashboard.</t>
  </si>
  <si>
    <t>A new student account exists, linked to the Google account used for sign-up, and can log in with Google going forward.</t>
  </si>
  <si>
    <t>Not attempted - this requires completing a real Google account consent screen, which automated testing does not do.</t>
  </si>
  <si>
    <t>Requires manual testing with a real, dedicated test Google account.</t>
  </si>
  <si>
    <t>TC-STU-080</t>
  </si>
  <si>
    <t>Verify that Student signs up using a Facebook account</t>
  </si>
  <si>
    <t>Verify that a student can sign up using their Facebook account instead of typing an email and password, then complete the normal registration steps and land on the dashboard.</t>
  </si>
  <si>
    <t>No existing E2 Language account linked to the Facebook account being used. A dedicated test Facebook account is available (not a tester's personal account). PLACEHOLDER: confirm a 'Sign up with Facebook' option is present on the desktop Registration/Sign Up page before executing - confirmed present on Mobile (TC-MOB-009 source note) but not independently re-checked on desktop this pass.</t>
  </si>
  <si>
    <t>A dedicated test Facebook account (no MFA enabled, to avoid blocking automation with a 2FA prompt).</t>
  </si>
  <si>
    <t>1. Navigate to a Registration/Sign Up page.
2. Click 'Sign up with Facebook' (exact button label PLACEHOLDER - confirm at execution).
3. Log in to the test Facebook account and accept the consent screen.
4. Complete any remaining E2 Language registration steps (exam type/package selection, payment if the package is paid).</t>
  </si>
  <si>
    <t>The student can create their E2 Language account using their Facebook account instead of typing an email and password, then completes the normal registration steps (exam type, package, payment if required) and lands on the dashboard.</t>
  </si>
  <si>
    <t>A new student account exists, linked to the Facebook account used for sign-up, and can log in with Facebook going forward.</t>
  </si>
  <si>
    <t>Not attempted - this requires completing a real Facebook account consent screen, which automated testing does not do.</t>
  </si>
  <si>
    <t>Requires manual testing with a real, dedicated test Facebook account.</t>
  </si>
  <si>
    <t>Test Account Provisioning Checklist</t>
  </si>
  <si>
    <t>Every special account, environment state, or one-time setup step this suite needs before its dependent test cases can move from Blocked to a real Pass/Fail. Update Current Status as each item is prepared.</t>
  </si>
  <si>
    <t>Item</t>
  </si>
  <si>
    <t>Account / Test Data</t>
  </si>
  <si>
    <t>Description</t>
  </si>
  <si>
    <t>Purpose</t>
  </si>
  <si>
    <t>Required State</t>
  </si>
  <si>
    <t>Current Status</t>
  </si>
  <si>
    <t>How to Set It Up</t>
  </si>
  <si>
    <t>Used By (Test Cases)</t>
  </si>
  <si>
    <t>Expired Free Trial Account</t>
  </si>
  <si>
    <t>e2e-manual-test-001@mailinator.com / Temp@1234 (Account ID E2L-26061189100 - Expired, PTE Free)
test-ptea123@testing.com / Temp@1234 (Account ID E2L-26062421523 - Extended, PTE Free)</t>
  </si>
  <si>
    <t>A free-tier student account whose trial package has already passed its expiry date.</t>
  </si>
  <si>
    <t>Lets us test the Access-Period-Expired pop-up and the free extension flow for real, instead of guessing at the UI.</t>
  </si>
  <si>
    <t>Free package, ExpiryDate in the past.</t>
  </si>
  <si>
    <t>Ready</t>
  </si>
  <si>
    <t>Done - two accounts already exist (see Account column): one already Expired, one Extended once (for the 'can't extend twice' negative case, TC-STU-021). Just log in and run TC-STU-017/018/020/021 against these.</t>
  </si>
  <si>
    <t>TC-STU-017, 018, 020, 021</t>
  </si>
  <si>
    <t>GRE / WooCommerce Account</t>
  </si>
  <si>
    <t>Not yet created</t>
  </si>
  <si>
    <t>A student whose course was purchased through the WooCommerce storefront rather than the main E2V2 checkout.</t>
  </si>
  <si>
    <t>Covers the WooCommerce sync and GRE-specific flows (Switch Course exclusion, ROPC auto-login) that the normal registration flow can't reach.</t>
  </si>
  <si>
    <t>Active GRE package, created via a real WooCommerce purchase.</t>
  </si>
  <si>
    <t>Blocked - Needs Engineering</t>
  </si>
  <si>
    <t>No Admin path creates a GRE account directly - it's WooCommerce-only. Needs either an explicit user go-ahead to run a real (sandbox) WooCommerce purchase, or a pre-built fixture/test account from engineering.</t>
  </si>
  <si>
    <t>TC-STU-016, 078</t>
  </si>
  <si>
    <t>3-Day Login Streak Account</t>
  </si>
  <si>
    <t>A student account logged into on 3 separate calendar days in a row.</t>
  </si>
  <si>
    <t>Confirms the Login Streak voucher (20% off) actually fires after the 3rd consecutive login.</t>
  </si>
  <si>
    <t>3 consecutive daily logins, then check for the voucher on Upgrade.</t>
  </si>
  <si>
    <t>Not Started</t>
  </si>
  <si>
    <t>No shortcut exists to fake login history. Log into a dedicated seed account once a day for 3 days running, then check Upgrade for the voucher.</t>
  </si>
  <si>
    <t>Voucher-Stacking Combo Account</t>
  </si>
  <si>
    <t>An account that qualifies for two Special Vouchers at the same time (e.g. login streak + an abandoned cart).</t>
  </si>
  <si>
    <t>Answers a genuinely open question - the wiki's own author flags voucher stacking as unconfirmed with engineering.</t>
  </si>
  <si>
    <t>Both the Login Streak and Abandon Cart conditions true on one account at once.</t>
  </si>
  <si>
    <t>Depends on the two rows above being solved first, then also needs engineering to confirm what the *intended* stacking behavior even is before a real pass/fail can be written.</t>
  </si>
  <si>
    <t>Fully-Maxed Assessment Account</t>
  </si>
  <si>
    <t>A paid student who has already purchased every available Assessment add-on option.</t>
  </si>
  <si>
    <t>Confirms the add-on Shop correctly blocks a repeat purchase once every option is owned.</t>
  </si>
  <si>
    <t>Every Assessment add-on (Individual + Bundle) already purchased.</t>
  </si>
  <si>
    <t>Buy every Assessment add-on option on a seed paid account via the Shop, then attempt one more purchase.</t>
  </si>
  <si>
    <t>Booked + No-Show Appointment</t>
  </si>
  <si>
    <t>A student with a booked Tutorial/Consultation appointment that a Teacher has marked No-Show.</t>
  </si>
  <si>
    <t>Reset Appointment is an action-gated add-on - it only appears after this exact sequence, not via Shop or a direct URL.</t>
  </si>
  <si>
    <t>Appointment booked, then a Teacher marks it No-Show in Teacher &gt; Scheduler.</t>
  </si>
  <si>
    <t>Book an appointment as the seed student, then log in as Teacher and mark that appointment No-Show.</t>
  </si>
  <si>
    <t>CELPIP / GRE / SAT Account</t>
  </si>
  <si>
    <t>A student registered under one of the ROPC-eligible free exam types (CELPIP, GRE, or SAT).</t>
  </si>
  <si>
    <t>ROPC auto-login into Content Tool only applies to these three free exam types - none of our current seed accounts are on them.</t>
  </si>
  <si>
    <t>Free package, exam type = CELPIP, GRE, or SAT.</t>
  </si>
  <si>
    <t>Register a new free student choosing CELPIP, GRE, or SAT as the exam type at signup.</t>
  </si>
  <si>
    <t>Verified Free-Tier Account (real email verification)</t>
  </si>
  <si>
    <t>A free student account created through a genuine signup + real verification-email click, not created directly in Admin.</t>
  </si>
  <si>
    <t>E2 Rewards / referral discount requires a verified-email flag that Admin has no manual toggle for.</t>
  </si>
  <si>
    <t>Free account, email ownership verified by clicking the real confirmation link.</t>
  </si>
  <si>
    <t>Sign up with a real, checkable inbox (not mailinator/yopmail, both blocked) and click the verification link that arrives.</t>
  </si>
  <si>
    <t>Scheduled Live Class Instance</t>
  </si>
  <si>
    <t>A real, upcoming Live Class created in Admin and open for student registration.</t>
  </si>
  <si>
    <t>Live Class join/unregister flows only render when an actual class instance exists - there is no class to join otherwise.</t>
  </si>
  <si>
    <t>One Live Class scheduled in the near future via Admin &gt; Live Class &gt; Scheduler.</t>
  </si>
  <si>
    <t>Admin's session got stuck in an Azure AD B2C login redirect loop on this screen during the last pass - needs a retry in a fresh session before a class can even be created.</t>
  </si>
  <si>
    <t>TC-STU-067, 068, TC-ADM-012</t>
  </si>
  <si>
    <t>Confirmed Express Checkout URL</t>
  </si>
  <si>
    <t>The real, working guest-checkout entry point that doesn't require logging in first.</t>
  </si>
  <si>
    <t>All 3 Express Checkout cases are blocked purely because nobody has located this page yet - not an account problem, a missing-URL problem.</t>
  </si>
  <si>
    <t>A page reachable with zero existing session/cookies that accepts a brand-new email directly.</t>
  </si>
  <si>
    <t>Check Admin &gt; Marketing Tools &gt; Package URL / Add-ons URL (same 'View Url' pattern already confirmed for Activity URL) and Admin &gt; Embedded Pricing for a guest-facing link; otherwise ask engineering directly for the entry point.</t>
  </si>
  <si>
    <t>TC-STU-029, 031, 032</t>
  </si>
  <si>
    <t>Addons Voucher (created via Admin)</t>
  </si>
  <si>
    <t>Candidate: STAGE-TAQJ-123 (listed as 'Additional Resources - 50% off' in Credentials &amp; Test Data) - not yet confirmed this was created via Create Addons Voucher specifically, rather than Single/Bulk. Verify in Admin before treating this as the confirmed Addons Voucher.</t>
  </si>
  <si>
    <t>A voucher code created specifically through Admin &gt; Partners &gt; Organization &gt; Show Voucher &gt; Create Addons Voucher, as opposed to Create Single/Bulk Voucher.</t>
  </si>
  <si>
    <t>Confirms whether Add-on/Additional Package purchases need this distinct voucher type - the current suite has zero happy-path coverage for a voucher succeeding on an Add-on purchase.</t>
  </si>
  <si>
    <t>One voucher generated via the Create Addons Voucher option specifically.</t>
  </si>
  <si>
    <t>In Progress</t>
  </si>
  <si>
    <t>In Admin, go to Partners &gt; Organization &gt; &lt;org&gt; &gt; Show Voucher &gt; Create Addons Voucher, generate a code, then apply it on a real Add-on/Additional Package payment page.</t>
  </si>
  <si>
    <t>New case - Add-on voucher happy path (not yet numbered)</t>
  </si>
  <si>
    <t>Real Google / Facebook OAuth Test Accounts</t>
  </si>
  <si>
    <t>A real, credentialed Google account and Facebook account usable for social-login testing.</t>
  </si>
  <si>
    <t>Social sign-in/SSO cannot be scripted through real OAuth consent screens - this is Manual Only by nature, not a setup gap.</t>
  </si>
  <si>
    <t>One real Google account, one real Facebook account, both usable for login.</t>
  </si>
  <si>
    <t>No automation shortcut exists here by design (real third-party OAuth + CAPTCHA). Run these manually with real test accounts when needed.</t>
  </si>
  <si>
    <t>TC-STU-079, 080, 062, TC-MOB-002, 003, 006, 007</t>
  </si>
  <si>
    <t>WooCommerce Real-Purchase Go-Ahead</t>
  </si>
  <si>
    <t>Explicit user sign-off to run one real (sandbox) WooCommerce transaction.</t>
  </si>
  <si>
    <t>Confirms the WooCommerce-to-E2V2 account sync actually works end-to-end - can't be verified without a real purchase going through.</t>
  </si>
  <si>
    <t>One completed WooCommerce sandbox purchase, then check the resulting E2V2 account.</t>
  </si>
  <si>
    <t>Needs the user's explicit go-ahead before any transaction is run, per standing financial-action policy - not something to do unprompted.</t>
  </si>
  <si>
    <t>Status legend:</t>
  </si>
  <si>
    <t>Nobody has attempted this setup yet.</t>
  </si>
  <si>
    <t>Setup is underway or a candidate exists but is not yet confirmed.</t>
  </si>
  <si>
    <t>The account/state exists and its dependent test cases can be run.</t>
  </si>
  <si>
    <t>Cannot be created through the UI alone - needs an engineering-side capability first.</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</si>
</sst>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sz val="11.0"/>
      <color rgb="FF1F4E78"/>
      <name val="Cambria"/>
    </font>
    <font>
      <b/>
      <sz val="14.0"/>
      <color rgb="FF1F4E78"/>
      <name val="Cambria"/>
    </font>
    <font>
      <b/>
      <sz val="10.0"/>
      <color rgb="FFFFFFFF"/>
      <name val="Cambria"/>
    </font>
    <font>
      <sz val="11.0"/>
      <color theme="1"/>
      <name val="Calibri"/>
    </font>
    <font>
      <i/>
      <sz val="9.0"/>
      <color rgb="FF555555"/>
      <name val="Cambria"/>
    </font>
    <font>
      <b/>
      <sz val="11.0"/>
      <color theme="1"/>
      <name val="Calibri"/>
    </font>
    <font>
      <u/>
      <sz val="11.0"/>
      <color rgb="FF000000"/>
      <name val="Calibri"/>
    </font>
    <font>
      <u/>
      <sz val="11.0"/>
      <color rgb="FF000000"/>
      <name val="Cambria"/>
    </font>
    <font>
      <b/>
      <sz val="11.0"/>
      <color rgb="FF1F4E78"/>
      <name val="Calibri"/>
    </font>
    <font>
      <u/>
      <sz val="11.0"/>
      <color rgb="FF000000"/>
      <name val="Calibri"/>
    </font>
    <font>
      <u/>
      <sz val="11.0"/>
      <color rgb="FF434343"/>
      <name val="Calibri"/>
    </font>
    <font>
      <b/>
      <sz val="11.0"/>
      <color rgb="FF006100"/>
      <name val="Calibri"/>
    </font>
    <font>
      <u/>
      <sz val="11.0"/>
      <color rgb="FF000000"/>
      <name val="Calibri"/>
    </font>
    <font>
      <sz val="11.0"/>
      <color rgb="FF000000"/>
      <name val="Calibri"/>
    </font>
    <font>
      <u/>
      <sz val="11.0"/>
      <color theme="1"/>
      <name val="Calibri"/>
    </font>
    <font>
      <u/>
      <sz val="11.0"/>
      <color theme="1"/>
      <name val="Calibri"/>
    </font>
    <font>
      <b/>
      <sz val="11.0"/>
      <color rgb="FF9C6500"/>
      <name val="Calibri"/>
    </font>
    <font>
      <u/>
      <sz val="11.0"/>
      <color rgb="FF0000FF"/>
      <name val="Calibri"/>
    </font>
    <font>
      <b/>
      <sz val="11.0"/>
      <color rgb="FF9C0006"/>
      <name val="Calibri"/>
    </font>
    <font>
      <b/>
      <sz val="11.0"/>
      <color rgb="FF404040"/>
      <name val="Calibri"/>
    </font>
    <font>
      <b/>
      <sz val="16.0"/>
      <color rgb="FF1F4E78"/>
      <name val="Cambria"/>
    </font>
    <font>
      <i/>
      <sz val="10.0"/>
      <color rgb="FF595959"/>
      <name val="Calibri"/>
    </font>
    <font>
      <b/>
      <sz val="10.0"/>
      <color rgb="FF404040"/>
      <name val="Calibri"/>
    </font>
    <font>
      <sz val="10.0"/>
      <color theme="1"/>
      <name val="Calibri"/>
    </font>
    <font>
      <b/>
      <sz val="10.0"/>
      <color rgb="FF9C6500"/>
      <name val="Calibri"/>
    </font>
    <font>
      <b/>
      <sz val="10.0"/>
      <color rgb="FF006100"/>
      <name val="Calibri"/>
    </font>
    <font>
      <b/>
      <sz val="10.0"/>
      <color rgb="FF9C0006"/>
      <name val="Calibri"/>
    </font>
  </fonts>
  <fills count="15">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F2F2F2"/>
        <bgColor rgb="FFF2F2F2"/>
      </patternFill>
    </fill>
    <fill>
      <patternFill patternType="solid">
        <fgColor rgb="FFC6EFCE"/>
        <bgColor rgb="FFC6EFCE"/>
      </patternFill>
    </fill>
    <fill>
      <patternFill patternType="solid">
        <fgColor rgb="FFB7B7B7"/>
        <bgColor rgb="FFB7B7B7"/>
      </patternFill>
    </fill>
    <fill>
      <patternFill patternType="solid">
        <fgColor rgb="FF999999"/>
        <bgColor rgb="FF999999"/>
      </patternFill>
    </fill>
    <fill>
      <patternFill patternType="solid">
        <fgColor rgb="FFFF0000"/>
        <bgColor rgb="FFFF0000"/>
      </patternFill>
    </fill>
    <fill>
      <patternFill patternType="solid">
        <fgColor rgb="FFFFEB9C"/>
        <bgColor rgb="FFFFEB9C"/>
      </patternFill>
    </fill>
    <fill>
      <patternFill patternType="solid">
        <fgColor rgb="FFFCE4D6"/>
        <bgColor rgb="FFFCE4D6"/>
      </patternFill>
    </fill>
    <fill>
      <patternFill patternType="solid">
        <fgColor rgb="FFFFC7CE"/>
        <bgColor rgb="FFFFC7CE"/>
      </patternFill>
    </fill>
    <fill>
      <patternFill patternType="solid">
        <fgColor rgb="FFD9D9D9"/>
        <bgColor rgb="FFD9D9D9"/>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1" fillId="0" fontId="4" numFmtId="0" xfId="0" applyAlignment="1" applyBorder="1" applyFont="1">
      <alignment horizontal="left" shrinkToFit="0" vertical="top" wrapText="1"/>
    </xf>
    <xf borderId="0" fillId="0" fontId="4" numFmtId="0" xfId="0" applyAlignment="1" applyFont="1">
      <alignment shrinkToFit="0" vertical="top" wrapText="1"/>
    </xf>
    <xf borderId="1" fillId="3" fontId="4" numFmtId="0" xfId="0" applyAlignment="1" applyBorder="1" applyFill="1" applyFont="1">
      <alignment horizontal="left" shrinkToFit="0" vertical="top" wrapText="1"/>
    </xf>
    <xf borderId="0" fillId="0" fontId="6" numFmtId="0" xfId="0" applyAlignment="1" applyFont="1">
      <alignment horizontal="left" shrinkToFit="0" vertical="top" wrapText="1"/>
    </xf>
    <xf borderId="1" fillId="0" fontId="7" numFmtId="0" xfId="0" applyAlignment="1" applyBorder="1" applyFont="1">
      <alignment horizontal="left" shrinkToFit="0" vertical="top" wrapText="1"/>
    </xf>
    <xf borderId="0" fillId="0" fontId="8" numFmtId="0" xfId="0" applyAlignment="1" applyFont="1">
      <alignment shrinkToFit="0" vertical="bottom" wrapText="0"/>
    </xf>
    <xf borderId="0" fillId="0" fontId="9" numFmtId="0" xfId="0" applyAlignment="1" applyFont="1">
      <alignment horizontal="left" shrinkToFit="0" vertical="top" wrapText="1"/>
    </xf>
    <xf borderId="0" fillId="0" fontId="4" numFmtId="0" xfId="0" applyAlignment="1" applyFont="1">
      <alignment horizontal="left" shrinkToFit="0" vertical="top" wrapText="1"/>
    </xf>
    <xf borderId="0" fillId="0" fontId="10" numFmtId="0" xfId="0" applyAlignment="1" applyFont="1">
      <alignment horizontal="left" shrinkToFit="0" vertical="top" wrapText="1"/>
    </xf>
    <xf borderId="0" fillId="0" fontId="11" numFmtId="0" xfId="0" applyAlignment="1" applyFont="1">
      <alignment horizontal="left" shrinkToFit="0" vertical="top" wrapText="1"/>
    </xf>
    <xf borderId="2" fillId="2" fontId="3" numFmtId="0" xfId="0" applyAlignment="1" applyBorder="1" applyFill="1" applyFont="1">
      <alignment horizontal="left" shrinkToFit="0" vertical="top" wrapText="1"/>
    </xf>
    <xf borderId="1" fillId="0" fontId="4" numFmtId="0" xfId="0" applyAlignment="1" applyBorder="1" applyFont="1">
      <alignment shrinkToFit="0" vertical="bottom" wrapText="0"/>
    </xf>
    <xf borderId="1" fillId="2" fontId="3" numFmtId="0" xfId="0" applyAlignment="1" applyBorder="1" applyFill="1" applyFont="1">
      <alignment horizontal="center" shrinkToFit="0" vertical="center" wrapText="1"/>
    </xf>
    <xf borderId="1" fillId="2" fontId="3" numFmtId="0" xfId="0" applyAlignment="1" applyBorder="1" applyFill="1" applyFont="1">
      <alignment horizontal="left" shrinkToFit="0" vertical="top" wrapText="1"/>
    </xf>
    <xf borderId="1" fillId="4" fontId="4" numFmtId="0" xfId="0" applyAlignment="1" applyBorder="1" applyFill="1" applyFont="1">
      <alignment horizontal="left" shrinkToFit="0" vertical="top" wrapText="1"/>
    </xf>
    <xf borderId="1" fillId="5" fontId="4" numFmtId="0" xfId="0" applyAlignment="1" applyBorder="1" applyFill="1" applyFont="1">
      <alignment horizontal="left" shrinkToFit="0" vertical="top" wrapText="1"/>
    </xf>
    <xf borderId="1" fillId="6" fontId="4" numFmtId="0" xfId="0" applyAlignment="1" applyBorder="1" applyFill="1" applyFont="1">
      <alignment horizontal="left" shrinkToFit="0" vertical="top" wrapText="1"/>
    </xf>
    <xf borderId="1" fillId="7" fontId="12" numFmtId="0" xfId="0" applyAlignment="1" applyBorder="1" applyFill="1" applyFont="1">
      <alignment horizontal="center" shrinkToFit="0" vertical="top" wrapText="1"/>
    </xf>
    <xf borderId="1" fillId="0" fontId="13" numFmtId="0" xfId="0" applyAlignment="1" applyBorder="1" applyFont="1">
      <alignment horizontal="left" readingOrder="0" shrinkToFit="0" vertical="top" wrapText="1"/>
    </xf>
    <xf borderId="1" fillId="0" fontId="14"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16" numFmtId="0" xfId="0" applyAlignment="1" applyBorder="1" applyFont="1">
      <alignment horizontal="left" readingOrder="0" shrinkToFit="0" vertical="top" wrapText="1"/>
    </xf>
    <xf borderId="1" fillId="8" fontId="4" numFmtId="0" xfId="0" applyAlignment="1" applyBorder="1" applyFill="1" applyFont="1">
      <alignment horizontal="left" shrinkToFit="0" vertical="top" wrapText="1"/>
    </xf>
    <xf borderId="1" fillId="9" fontId="4" numFmtId="0" xfId="0" applyAlignment="1" applyBorder="1" applyFill="1" applyFont="1">
      <alignment horizontal="left" shrinkToFit="0" vertical="top" wrapText="1"/>
    </xf>
    <xf borderId="1" fillId="10" fontId="4" numFmtId="0" xfId="0" applyAlignment="1" applyBorder="1" applyFill="1" applyFont="1">
      <alignment horizontal="left" shrinkToFit="0" vertical="top" wrapText="1"/>
    </xf>
    <xf borderId="1" fillId="11" fontId="17" numFmtId="0" xfId="0" applyAlignment="1" applyBorder="1" applyFill="1" applyFont="1">
      <alignment horizontal="center" shrinkToFit="0" vertical="top" wrapText="1"/>
    </xf>
    <xf borderId="1" fillId="0" fontId="18"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12" fontId="4" numFmtId="0" xfId="0" applyAlignment="1" applyBorder="1" applyFill="1" applyFont="1">
      <alignment horizontal="left" shrinkToFit="0" vertical="top" wrapText="1"/>
    </xf>
    <xf borderId="1" fillId="13" fontId="19" numFmtId="0" xfId="0" applyAlignment="1" applyBorder="1" applyFill="1" applyFont="1">
      <alignment horizontal="center" shrinkToFit="0" vertical="top" wrapText="1"/>
    </xf>
    <xf borderId="1" fillId="14" fontId="20" numFmtId="0" xfId="0" applyAlignment="1" applyBorder="1" applyFill="1" applyFont="1">
      <alignment horizontal="center" shrinkToFit="0" vertical="top" wrapText="1"/>
    </xf>
    <xf borderId="0" fillId="0" fontId="21" numFmtId="0" xfId="0" applyAlignment="1" applyFont="1">
      <alignment shrinkToFit="0" vertical="bottom" wrapText="0"/>
    </xf>
    <xf borderId="0" fillId="0" fontId="22" numFmtId="0" xfId="0" applyAlignment="1" applyFont="1">
      <alignment horizontal="left" shrinkToFit="0" vertical="top" wrapText="1"/>
    </xf>
    <xf borderId="1" fillId="0" fontId="6" numFmtId="0" xfId="0" applyAlignment="1" applyBorder="1" applyFont="1">
      <alignment horizontal="left" shrinkToFit="0" vertical="top" wrapText="1"/>
    </xf>
    <xf borderId="1" fillId="13" fontId="4" numFmtId="0" xfId="0" applyAlignment="1" applyBorder="1" applyFill="1" applyFont="1">
      <alignment horizontal="left" shrinkToFit="0" vertical="top" wrapText="1"/>
    </xf>
    <xf borderId="1" fillId="7" fontId="12" numFmtId="0" xfId="0" applyAlignment="1" applyBorder="1" applyFill="1" applyFont="1">
      <alignment horizontal="left" shrinkToFit="0" vertical="top" wrapText="1"/>
    </xf>
    <xf borderId="1" fillId="13" fontId="19" numFmtId="0" xfId="0" applyAlignment="1" applyBorder="1" applyFill="1" applyFont="1">
      <alignment horizontal="left" shrinkToFit="0" vertical="top" wrapText="1"/>
    </xf>
    <xf borderId="1" fillId="14" fontId="4" numFmtId="0" xfId="0" applyAlignment="1" applyBorder="1" applyFill="1" applyFont="1">
      <alignment horizontal="left" shrinkToFit="0" vertical="top" wrapText="1"/>
    </xf>
    <xf borderId="1" fillId="14" fontId="20" numFmtId="0" xfId="0" applyAlignment="1" applyBorder="1" applyFill="1" applyFont="1">
      <alignment horizontal="left" shrinkToFit="0" vertical="top" wrapText="1"/>
    </xf>
    <xf borderId="1" fillId="11" fontId="17" numFmtId="0" xfId="0" applyAlignment="1" applyBorder="1" applyFill="1" applyFont="1">
      <alignment horizontal="left" shrinkToFit="0" vertical="top" wrapText="1"/>
    </xf>
    <xf borderId="0" fillId="0" fontId="6" numFmtId="0" xfId="0" applyAlignment="1" applyFont="1">
      <alignment shrinkToFit="0" vertical="bottom" wrapText="0"/>
    </xf>
    <xf borderId="1" fillId="14" fontId="23" numFmtId="0" xfId="0" applyAlignment="1" applyBorder="1" applyFill="1" applyFont="1">
      <alignment horizontal="left" shrinkToFit="0" vertical="top" wrapText="1"/>
    </xf>
    <xf borderId="0" fillId="0" fontId="24" numFmtId="0" xfId="0" applyAlignment="1" applyFont="1">
      <alignment horizontal="left" shrinkToFit="0" vertical="top" wrapText="1"/>
    </xf>
    <xf borderId="1" fillId="11" fontId="25" numFmtId="0" xfId="0" applyAlignment="1" applyBorder="1" applyFill="1" applyFont="1">
      <alignment horizontal="left" shrinkToFit="0" vertical="top" wrapText="1"/>
    </xf>
    <xf borderId="1" fillId="7" fontId="26" numFmtId="0" xfId="0" applyAlignment="1" applyBorder="1" applyFill="1" applyFont="1">
      <alignment horizontal="left" shrinkToFit="0" vertical="top" wrapText="1"/>
    </xf>
    <xf borderId="1" fillId="13" fontId="27"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Role</a:t>
            </a:r>
          </a:p>
        </c:rich>
      </c:tx>
      <c:overlay val="0"/>
    </c:title>
    <c:plotArea>
      <c:layout/>
      <c:barChart>
        <c:barDir val="col"/>
        <c:ser>
          <c:idx val="0"/>
          <c:order val="0"/>
          <c:tx>
            <c:v>Count</c:v>
          </c:tx>
          <c:spPr>
            <a:solidFill>
              <a:srgbClr val="4F81BD"/>
            </a:solidFill>
            <a:ln cmpd="sng">
              <a:noFill/>
            </a:ln>
          </c:spPr>
          <c:cat>
            <c:strRef>
              <c:f>Dashboard!$A$6:$A$9</c:f>
            </c:strRef>
          </c:cat>
          <c:val>
            <c:numRef>
              <c:f>Dashboard!$B$6:$B$9</c:f>
              <c:numCache/>
            </c:numRef>
          </c:val>
        </c:ser>
        <c:axId val="2059550701"/>
        <c:axId val="240507447"/>
      </c:barChart>
      <c:catAx>
        <c:axId val="2059550701"/>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40507447"/>
      </c:catAx>
      <c:valAx>
        <c:axId val="24050744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2059550701"/>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Smoke vs Regression</a:t>
            </a:r>
          </a:p>
        </c:rich>
      </c:tx>
      <c:overlay val="0"/>
    </c:title>
    <c:plotArea>
      <c:layout/>
      <c:pieChart>
        <c:varyColors val="1"/>
        <c:ser>
          <c:idx val="0"/>
          <c:order val="0"/>
          <c:tx>
            <c:strRef>
              <c:f>Dashboard!$B$12</c:f>
            </c:strRef>
          </c:tx>
          <c:dPt>
            <c:idx val="0"/>
            <c:spPr>
              <a:solidFill>
                <a:srgbClr val="4F81BD"/>
              </a:solidFill>
            </c:spPr>
          </c:dPt>
          <c:dPt>
            <c:idx val="1"/>
            <c:spPr>
              <a:solidFill>
                <a:srgbClr val="C0504D"/>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Dashboard!$A$13:$A$14</c:f>
            </c:strRef>
          </c:cat>
          <c:val>
            <c:numRef>
              <c:f>Dashboard!$B$13:$B$14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Automation vs Manual</a:t>
            </a:r>
          </a:p>
        </c:rich>
      </c:tx>
      <c:overlay val="0"/>
    </c:title>
    <c:plotArea>
      <c:layout/>
      <c:pieChart>
        <c:varyColors val="1"/>
        <c:ser>
          <c:idx val="0"/>
          <c:order val="0"/>
          <c:tx>
            <c:strRef>
              <c:f>Dashboard!$B$17</c:f>
            </c:strRef>
          </c:tx>
          <c:dPt>
            <c:idx val="0"/>
            <c:spPr>
              <a:solidFill>
                <a:srgbClr val="4F81BD"/>
              </a:solidFill>
            </c:spPr>
          </c:dPt>
          <c:dPt>
            <c:idx val="1"/>
            <c:spPr>
              <a:solidFill>
                <a:srgbClr val="C0504D"/>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Dashboard!$A$18:$A$19</c:f>
            </c:strRef>
          </c:cat>
          <c:val>
            <c:numRef>
              <c:f>Dashboard!$B$18:$B$19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Priority</a:t>
            </a:r>
          </a:p>
        </c:rich>
      </c:tx>
      <c:overlay val="0"/>
    </c:title>
    <c:plotArea>
      <c:layout/>
      <c:barChart>
        <c:barDir val="col"/>
        <c:ser>
          <c:idx val="0"/>
          <c:order val="0"/>
          <c:tx>
            <c:v>Count</c:v>
          </c:tx>
          <c:spPr>
            <a:solidFill>
              <a:srgbClr val="4F81BD"/>
            </a:solidFill>
            <a:ln cmpd="sng">
              <a:noFill/>
            </a:ln>
          </c:spPr>
          <c:cat>
            <c:strRef>
              <c:f>Dashboard!$A$23:$A$25</c:f>
            </c:strRef>
          </c:cat>
          <c:val>
            <c:numRef>
              <c:f>Dashboard!$B$23:$B$25</c:f>
              <c:numCache/>
            </c:numRef>
          </c:val>
        </c:ser>
        <c:axId val="1978555029"/>
        <c:axId val="1369864595"/>
      </c:barChart>
      <c:catAx>
        <c:axId val="1978555029"/>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69864595"/>
      </c:catAx>
      <c:valAx>
        <c:axId val="1369864595"/>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97855502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Status</a:t>
            </a:r>
          </a:p>
        </c:rich>
      </c:tx>
      <c:overlay val="0"/>
    </c:title>
    <c:plotArea>
      <c:layout/>
      <c:barChart>
        <c:barDir val="col"/>
        <c:ser>
          <c:idx val="0"/>
          <c:order val="0"/>
          <c:tx>
            <c:v>Count</c:v>
          </c:tx>
          <c:spPr>
            <a:solidFill>
              <a:srgbClr val="4F81BD"/>
            </a:solidFill>
            <a:ln cmpd="sng">
              <a:noFill/>
            </a:ln>
          </c:spPr>
          <c:cat>
            <c:strRef>
              <c:f>Dashboard!$A$29:$A$32</c:f>
            </c:strRef>
          </c:cat>
          <c:val>
            <c:numRef>
              <c:f>Dashboard!$B$29:$B$32</c:f>
              <c:numCache/>
            </c:numRef>
          </c:val>
        </c:ser>
        <c:axId val="1752166925"/>
        <c:axId val="996394853"/>
      </c:barChart>
      <c:catAx>
        <c:axId val="1752166925"/>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96394853"/>
      </c:catAx>
      <c:valAx>
        <c:axId val="99639485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752166925"/>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142875</xdr:rowOff>
    </xdr:from>
    <xdr:ext cx="3228975" cy="2733675"/>
    <xdr:graphicFrame>
      <xdr:nvGraphicFramePr>
        <xdr:cNvPr id="833163787"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18</xdr:row>
      <xdr:rowOff>142875</xdr:rowOff>
    </xdr:from>
    <xdr:ext cx="3228975" cy="2733675"/>
    <xdr:graphicFrame>
      <xdr:nvGraphicFramePr>
        <xdr:cNvPr id="526298069"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34</xdr:row>
      <xdr:rowOff>142875</xdr:rowOff>
    </xdr:from>
    <xdr:ext cx="3228975" cy="2809875"/>
    <xdr:graphicFrame>
      <xdr:nvGraphicFramePr>
        <xdr:cNvPr id="675688304"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50</xdr:row>
      <xdr:rowOff>142875</xdr:rowOff>
    </xdr:from>
    <xdr:ext cx="3228975" cy="2838450"/>
    <xdr:graphicFrame>
      <xdr:nvGraphicFramePr>
        <xdr:cNvPr id="2086666199"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66</xdr:row>
      <xdr:rowOff>142875</xdr:rowOff>
    </xdr:from>
    <xdr:ext cx="3228975" cy="2838450"/>
    <xdr:graphicFrame>
      <xdr:nvGraphicFramePr>
        <xdr:cNvPr id="135894606" name="Chart 5"/>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zdopl-rc-adminapp.e2language.com/Administrator/Hom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zdopl-rc-registrationapp.e2language.com/Registration/SignUp?examTypeCode=PTE" TargetMode="External"/><Relationship Id="rId2" Type="http://schemas.openxmlformats.org/officeDocument/2006/relationships/hyperlink" Target="https://azdopl-rc-registrationapp.e2language.com/Registration/Free?examTypeCode=PTE" TargetMode="External"/><Relationship Id="rId3" Type="http://schemas.openxmlformats.org/officeDocument/2006/relationships/hyperlink" Target="https://azdopl-rc-main.e2language.com/Registration/PostFreeRegistration"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azdopl-rc-main.e2language.com//Registration/SignUpWithReferral?referralCode=d49392ffa2a849d094e70dcce461c951" TargetMode="External"/><Relationship Id="rId10" Type="http://schemas.openxmlformats.org/officeDocument/2006/relationships/hyperlink" Target="https://azdopl-rc-main.e2language.com//Registration/SignUpWithReferral?referralCode=d49392ffa2a849d094e70dcce461c951" TargetMode="External"/><Relationship Id="rId13" Type="http://schemas.openxmlformats.org/officeDocument/2006/relationships/hyperlink" Target="https://azdopl-rc-main.e2language.com/Student/Home" TargetMode="External"/><Relationship Id="rId12" Type="http://schemas.openxmlformats.org/officeDocument/2006/relationships/hyperlink" Target="https://azdopl-rc-main.e2language.com/Registration/UpgradeAccountWithCode?code=GP001-bZbC-01" TargetMode="External"/><Relationship Id="rId1" Type="http://schemas.openxmlformats.org/officeDocument/2006/relationships/hyperlink" Target="https://azdopl-rc-registrationapp.e2language.com/Registration/SignUp?examTypeCode=PTE&amp;packageCode=PTE_PaidV2_1&amp;state=" TargetMode="External"/><Relationship Id="rId2" Type="http://schemas.openxmlformats.org/officeDocument/2006/relationships/hyperlink" Target="https://azdopl-rc-registrationapp.e2language.com/Registration/SignUp?examTypeCode=PTE&amp;packageCode=PTE_PaidV2_1&amp;state=" TargetMode="External"/><Relationship Id="rId3" Type="http://schemas.openxmlformats.org/officeDocument/2006/relationships/hyperlink" Target="https://azdopl-rc-registrationapp.e2language.com/Registration/SignUp?shopifyProductId=9275456356605&amp;discount=20" TargetMode="External"/><Relationship Id="rId4" Type="http://schemas.openxmlformats.org/officeDocument/2006/relationships/hyperlink" Target="https://azdopl-rc-main.e2language.com/Student/Home" TargetMode="External"/><Relationship Id="rId9" Type="http://schemas.openxmlformats.org/officeDocument/2006/relationships/hyperlink" Target="https://azdopl-rc-main.e2language.com/Student/Home" TargetMode="External"/><Relationship Id="rId15" Type="http://schemas.openxmlformats.org/officeDocument/2006/relationships/hyperlink" Target="https://azdopl-rc-main.e2language.com/Student/Home" TargetMode="External"/><Relationship Id="rId14" Type="http://schemas.openxmlformats.org/officeDocument/2006/relationships/hyperlink" Target="https://azdopl-rc-main.e2language.com/Student/Home" TargetMode="External"/><Relationship Id="rId17" Type="http://schemas.openxmlformats.org/officeDocument/2006/relationships/drawing" Target="../drawings/drawing8.xml"/><Relationship Id="rId16" Type="http://schemas.openxmlformats.org/officeDocument/2006/relationships/hyperlink" Target="https://azdopl-rc-main.e2language.com/Student/Home" TargetMode="External"/><Relationship Id="rId5" Type="http://schemas.openxmlformats.org/officeDocument/2006/relationships/hyperlink" Target="https://azdopl-rc-main.e2language.com/Student/Home" TargetMode="External"/><Relationship Id="rId6" Type="http://schemas.openxmlformats.org/officeDocument/2006/relationships/hyperlink" Target="https://azdopl-rc-main.e2language.com/Student/Home" TargetMode="External"/><Relationship Id="rId7" Type="http://schemas.openxmlformats.org/officeDocument/2006/relationships/hyperlink" Target="https://azdopl-rc-main.e2language.com/Student/Home" TargetMode="External"/><Relationship Id="rId8" Type="http://schemas.openxmlformats.org/officeDocument/2006/relationships/hyperlink" Target="https://azdopl-rc-main.e2language.com/Student/Hom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2.0"/>
    <col customWidth="1" min="2" max="6" width="8.71"/>
  </cols>
  <sheetData>
    <row r="1" ht="17.25" customHeight="1">
      <c r="A1" s="2" t="s">
        <v>1</v>
      </c>
      <c r="B1" s="4"/>
      <c r="C1" s="4"/>
      <c r="D1" s="4"/>
      <c r="E1" s="4"/>
      <c r="F1" s="4"/>
      <c r="G1" s="4"/>
      <c r="H1" s="4"/>
      <c r="I1" s="4"/>
      <c r="J1" s="4"/>
      <c r="K1" s="4"/>
      <c r="L1" s="4"/>
      <c r="M1" s="4"/>
      <c r="N1" s="4"/>
      <c r="O1" s="4"/>
      <c r="P1" s="4"/>
      <c r="Q1" s="4"/>
      <c r="R1" s="4"/>
      <c r="S1" s="4"/>
      <c r="T1" s="4"/>
      <c r="U1" s="4"/>
      <c r="V1" s="4"/>
      <c r="W1" s="4"/>
      <c r="X1" s="4"/>
      <c r="Y1" s="4"/>
      <c r="Z1" s="4"/>
    </row>
    <row r="2" ht="15.0" customHeight="1">
      <c r="A2" s="5" t="s">
        <v>6</v>
      </c>
      <c r="B2" s="4"/>
      <c r="C2" s="4"/>
      <c r="D2" s="4"/>
      <c r="E2" s="4"/>
      <c r="F2" s="4"/>
      <c r="G2" s="4"/>
      <c r="H2" s="4"/>
      <c r="I2" s="4"/>
      <c r="J2" s="4"/>
      <c r="K2" s="4"/>
      <c r="L2" s="4"/>
      <c r="M2" s="4"/>
      <c r="N2" s="4"/>
      <c r="O2" s="4"/>
      <c r="P2" s="4"/>
      <c r="Q2" s="4"/>
      <c r="R2" s="4"/>
      <c r="S2" s="4"/>
      <c r="T2" s="4"/>
      <c r="U2" s="4"/>
      <c r="V2" s="4"/>
      <c r="W2" s="4"/>
      <c r="X2" s="4"/>
      <c r="Y2" s="4"/>
      <c r="Z2" s="4"/>
    </row>
    <row r="3" ht="15.0" customHeight="1">
      <c r="A3" s="4"/>
      <c r="B3" s="4"/>
      <c r="C3" s="4"/>
      <c r="D3" s="4"/>
      <c r="E3" s="4"/>
      <c r="F3" s="4"/>
      <c r="G3" s="4"/>
      <c r="H3" s="4"/>
      <c r="I3" s="4"/>
      <c r="J3" s="4"/>
      <c r="K3" s="4"/>
      <c r="L3" s="4"/>
      <c r="M3" s="4"/>
      <c r="N3" s="4"/>
      <c r="O3" s="4"/>
      <c r="P3" s="4"/>
      <c r="Q3" s="4"/>
      <c r="R3" s="4"/>
      <c r="S3" s="4"/>
      <c r="T3" s="4"/>
      <c r="U3" s="4"/>
      <c r="V3" s="4"/>
      <c r="W3" s="4"/>
      <c r="X3" s="4"/>
      <c r="Y3" s="4"/>
      <c r="Z3" s="4"/>
    </row>
    <row r="4" ht="41.25" customHeight="1">
      <c r="A4" s="7" t="s">
        <v>16</v>
      </c>
      <c r="B4" s="4"/>
      <c r="C4" s="4"/>
      <c r="D4" s="4"/>
      <c r="E4" s="4"/>
      <c r="F4" s="4"/>
      <c r="G4" s="4"/>
      <c r="H4" s="4"/>
      <c r="I4" s="4"/>
      <c r="J4" s="4"/>
      <c r="K4" s="4"/>
      <c r="L4" s="4"/>
      <c r="M4" s="4"/>
      <c r="N4" s="4"/>
      <c r="O4" s="4"/>
      <c r="P4" s="4"/>
      <c r="Q4" s="4"/>
      <c r="R4" s="4"/>
      <c r="S4" s="4"/>
      <c r="T4" s="4"/>
      <c r="U4" s="4"/>
      <c r="V4" s="4"/>
      <c r="W4" s="4"/>
      <c r="X4" s="4"/>
      <c r="Y4" s="4"/>
      <c r="Z4" s="4"/>
    </row>
    <row r="5" ht="15.0" customHeight="1">
      <c r="A5" s="7"/>
      <c r="B5" s="4"/>
      <c r="C5" s="4"/>
      <c r="D5" s="4"/>
      <c r="E5" s="4"/>
      <c r="F5" s="4"/>
      <c r="G5" s="4"/>
      <c r="H5" s="4"/>
      <c r="I5" s="4"/>
      <c r="J5" s="4"/>
      <c r="K5" s="4"/>
      <c r="L5" s="4"/>
      <c r="M5" s="4"/>
      <c r="N5" s="4"/>
      <c r="O5" s="4"/>
      <c r="P5" s="4"/>
      <c r="Q5" s="4"/>
      <c r="R5" s="4"/>
      <c r="S5" s="4"/>
      <c r="T5" s="4"/>
      <c r="U5" s="4"/>
      <c r="V5" s="4"/>
      <c r="W5" s="4"/>
      <c r="X5" s="4"/>
      <c r="Y5" s="4"/>
      <c r="Z5" s="4"/>
    </row>
    <row r="6" ht="81.75" customHeight="1">
      <c r="A6" s="7" t="s">
        <v>30</v>
      </c>
      <c r="B6" s="4"/>
      <c r="C6" s="4"/>
      <c r="D6" s="4"/>
      <c r="E6" s="4"/>
      <c r="F6" s="4"/>
      <c r="G6" s="4"/>
      <c r="H6" s="4"/>
      <c r="I6" s="4"/>
      <c r="J6" s="4"/>
      <c r="K6" s="4"/>
      <c r="L6" s="4"/>
      <c r="M6" s="4"/>
      <c r="N6" s="4"/>
      <c r="O6" s="4"/>
      <c r="P6" s="4"/>
      <c r="Q6" s="4"/>
      <c r="R6" s="4"/>
      <c r="S6" s="4"/>
      <c r="T6" s="4"/>
      <c r="U6" s="4"/>
      <c r="V6" s="4"/>
      <c r="W6" s="4"/>
      <c r="X6" s="4"/>
      <c r="Y6" s="4"/>
      <c r="Z6" s="4"/>
    </row>
    <row r="7" ht="15.0" customHeight="1">
      <c r="A7" s="7"/>
      <c r="B7" s="4"/>
      <c r="C7" s="4"/>
      <c r="D7" s="4"/>
      <c r="E7" s="4"/>
      <c r="F7" s="4"/>
      <c r="G7" s="4"/>
      <c r="H7" s="4"/>
      <c r="I7" s="4"/>
      <c r="J7" s="4"/>
      <c r="K7" s="4"/>
      <c r="L7" s="4"/>
      <c r="M7" s="4"/>
      <c r="N7" s="4"/>
      <c r="O7" s="4"/>
      <c r="P7" s="4"/>
      <c r="Q7" s="4"/>
      <c r="R7" s="4"/>
      <c r="S7" s="4"/>
      <c r="T7" s="4"/>
      <c r="U7" s="4"/>
      <c r="V7" s="4"/>
      <c r="W7" s="4"/>
      <c r="X7" s="4"/>
      <c r="Y7" s="4"/>
      <c r="Z7" s="4"/>
    </row>
    <row r="8" ht="122.25" customHeight="1">
      <c r="A8" s="7" t="s">
        <v>39</v>
      </c>
      <c r="B8" s="4"/>
      <c r="C8" s="4"/>
      <c r="D8" s="4"/>
      <c r="E8" s="4"/>
      <c r="F8" s="4"/>
      <c r="G8" s="4"/>
      <c r="H8" s="4"/>
      <c r="I8" s="4"/>
      <c r="J8" s="4"/>
      <c r="K8" s="4"/>
      <c r="L8" s="4"/>
      <c r="M8" s="4"/>
      <c r="N8" s="4"/>
      <c r="O8" s="4"/>
      <c r="P8" s="4"/>
      <c r="Q8" s="4"/>
      <c r="R8" s="4"/>
      <c r="S8" s="4"/>
      <c r="T8" s="4"/>
      <c r="U8" s="4"/>
      <c r="V8" s="4"/>
      <c r="W8" s="4"/>
      <c r="X8" s="4"/>
      <c r="Y8" s="4"/>
      <c r="Z8" s="4"/>
    </row>
    <row r="9" ht="15.0" customHeight="1">
      <c r="A9" s="7"/>
      <c r="B9" s="4"/>
      <c r="C9" s="4"/>
      <c r="D9" s="4"/>
      <c r="E9" s="4"/>
      <c r="F9" s="4"/>
      <c r="G9" s="4"/>
      <c r="H9" s="4"/>
      <c r="I9" s="4"/>
      <c r="J9" s="4"/>
      <c r="K9" s="4"/>
      <c r="L9" s="4"/>
      <c r="M9" s="4"/>
      <c r="N9" s="4"/>
      <c r="O9" s="4"/>
      <c r="P9" s="4"/>
      <c r="Q9" s="4"/>
      <c r="R9" s="4"/>
      <c r="S9" s="4"/>
      <c r="T9" s="4"/>
      <c r="U9" s="4"/>
      <c r="V9" s="4"/>
      <c r="W9" s="4"/>
      <c r="X9" s="4"/>
      <c r="Y9" s="4"/>
      <c r="Z9" s="4"/>
    </row>
    <row r="10" ht="54.75" customHeight="1">
      <c r="A10" s="7" t="s">
        <v>49</v>
      </c>
      <c r="B10" s="4"/>
      <c r="C10" s="4"/>
      <c r="D10" s="4"/>
      <c r="E10" s="4"/>
      <c r="F10" s="4"/>
      <c r="G10" s="4"/>
      <c r="H10" s="4"/>
      <c r="I10" s="4"/>
      <c r="J10" s="4"/>
      <c r="K10" s="4"/>
      <c r="L10" s="4"/>
      <c r="M10" s="4"/>
      <c r="N10" s="4"/>
      <c r="O10" s="4"/>
      <c r="P10" s="4"/>
      <c r="Q10" s="4"/>
      <c r="R10" s="4"/>
      <c r="S10" s="4"/>
      <c r="T10" s="4"/>
      <c r="U10" s="4"/>
      <c r="V10" s="4"/>
      <c r="W10" s="4"/>
      <c r="X10" s="4"/>
      <c r="Y10" s="4"/>
      <c r="Z10" s="4"/>
    </row>
    <row r="11" ht="15.0" customHeight="1">
      <c r="A11" s="7"/>
      <c r="B11" s="4"/>
      <c r="C11" s="4"/>
      <c r="D11" s="4"/>
      <c r="E11" s="4"/>
      <c r="F11" s="4"/>
      <c r="G11" s="4"/>
      <c r="H11" s="4"/>
      <c r="I11" s="4"/>
      <c r="J11" s="4"/>
      <c r="K11" s="4"/>
      <c r="L11" s="4"/>
      <c r="M11" s="4"/>
      <c r="N11" s="4"/>
      <c r="O11" s="4"/>
      <c r="P11" s="4"/>
      <c r="Q11" s="4"/>
      <c r="R11" s="4"/>
      <c r="S11" s="4"/>
      <c r="T11" s="4"/>
      <c r="U11" s="4"/>
      <c r="V11" s="4"/>
      <c r="W11" s="4"/>
      <c r="X11" s="4"/>
      <c r="Y11" s="4"/>
      <c r="Z11" s="4"/>
    </row>
    <row r="12" ht="68.25" customHeight="1">
      <c r="A12" s="7" t="s">
        <v>58</v>
      </c>
      <c r="B12" s="4"/>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68.25" customHeight="1">
      <c r="A14" s="9" t="s">
        <v>71</v>
      </c>
      <c r="B14" s="4"/>
      <c r="C14" s="4"/>
      <c r="D14" s="4"/>
      <c r="E14" s="4"/>
      <c r="F14" s="4"/>
      <c r="G14" s="4"/>
      <c r="H14" s="4"/>
      <c r="I14" s="4"/>
      <c r="J14" s="4"/>
      <c r="K14" s="4"/>
      <c r="L14" s="4"/>
      <c r="M14" s="4"/>
      <c r="N14" s="4"/>
      <c r="O14" s="4"/>
      <c r="P14" s="4"/>
      <c r="Q14" s="4"/>
      <c r="R14" s="4"/>
      <c r="S14" s="4"/>
      <c r="T14" s="4"/>
      <c r="U14" s="4"/>
      <c r="V14" s="4"/>
      <c r="W14" s="4"/>
      <c r="X14" s="4"/>
      <c r="Y14" s="4"/>
      <c r="Z14" s="4"/>
    </row>
    <row r="15" ht="15.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45.0"/>
    <col customWidth="1" min="3" max="3" width="30.0"/>
    <col customWidth="1" min="4" max="4" width="70.0"/>
    <col customWidth="1" min="5" max="6" width="8.71"/>
  </cols>
  <sheetData>
    <row r="1" ht="15.0" customHeight="1">
      <c r="A1" s="1" t="s">
        <v>0</v>
      </c>
      <c r="B1" s="4"/>
      <c r="C1" s="4"/>
      <c r="D1" s="4"/>
      <c r="E1" s="4"/>
      <c r="F1" s="4"/>
      <c r="G1" s="4"/>
      <c r="H1" s="4"/>
      <c r="I1" s="4"/>
      <c r="J1" s="4"/>
      <c r="K1" s="4"/>
      <c r="L1" s="4"/>
      <c r="M1" s="4"/>
      <c r="N1" s="4"/>
      <c r="O1" s="4"/>
      <c r="P1" s="4"/>
      <c r="Q1" s="4"/>
      <c r="R1" s="4"/>
      <c r="S1" s="4"/>
      <c r="T1" s="4"/>
      <c r="U1" s="4"/>
      <c r="V1" s="4"/>
      <c r="W1" s="4"/>
      <c r="X1" s="4"/>
      <c r="Y1" s="4"/>
      <c r="Z1" s="4"/>
    </row>
    <row r="2" ht="15.0" customHeight="1">
      <c r="A2" s="3" t="s">
        <v>10</v>
      </c>
      <c r="B2" s="3" t="s">
        <v>11</v>
      </c>
      <c r="C2" s="3" t="s">
        <v>12</v>
      </c>
      <c r="D2" s="3" t="s">
        <v>4</v>
      </c>
      <c r="E2" s="4"/>
      <c r="F2" s="4"/>
      <c r="G2" s="4"/>
      <c r="H2" s="4"/>
      <c r="I2" s="4"/>
      <c r="J2" s="4"/>
      <c r="K2" s="4"/>
      <c r="L2" s="4"/>
      <c r="M2" s="4"/>
      <c r="N2" s="4"/>
      <c r="O2" s="4"/>
      <c r="P2" s="4"/>
      <c r="Q2" s="4"/>
      <c r="R2" s="4"/>
      <c r="S2" s="4"/>
      <c r="T2" s="4"/>
      <c r="U2" s="4"/>
      <c r="V2" s="4"/>
      <c r="W2" s="4"/>
      <c r="X2" s="4"/>
      <c r="Y2" s="4"/>
      <c r="Z2" s="4"/>
    </row>
    <row r="3" ht="45.0" customHeight="1">
      <c r="A3" s="6" t="s">
        <v>17</v>
      </c>
      <c r="B3" s="6" t="s">
        <v>18</v>
      </c>
      <c r="C3" s="6" t="s">
        <v>19</v>
      </c>
      <c r="D3" s="6" t="s">
        <v>20</v>
      </c>
      <c r="E3" s="4"/>
      <c r="F3" s="4"/>
      <c r="G3" s="4"/>
      <c r="H3" s="4"/>
      <c r="I3" s="4"/>
      <c r="J3" s="4"/>
      <c r="K3" s="4"/>
      <c r="L3" s="4"/>
      <c r="M3" s="4"/>
      <c r="N3" s="4"/>
      <c r="O3" s="4"/>
      <c r="P3" s="4"/>
      <c r="Q3" s="4"/>
      <c r="R3" s="4"/>
      <c r="S3" s="4"/>
      <c r="T3" s="4"/>
      <c r="U3" s="4"/>
      <c r="V3" s="4"/>
      <c r="W3" s="4"/>
      <c r="X3" s="4"/>
      <c r="Y3" s="4"/>
      <c r="Z3" s="4"/>
    </row>
    <row r="4" ht="45.0" customHeight="1">
      <c r="A4" s="6" t="s">
        <v>24</v>
      </c>
      <c r="B4" s="6" t="s">
        <v>26</v>
      </c>
      <c r="C4" s="6" t="s">
        <v>28</v>
      </c>
      <c r="D4" s="6" t="s">
        <v>31</v>
      </c>
      <c r="E4" s="4"/>
      <c r="F4" s="4"/>
      <c r="G4" s="4"/>
      <c r="H4" s="4"/>
      <c r="I4" s="4"/>
      <c r="J4" s="4"/>
      <c r="K4" s="4"/>
      <c r="L4" s="4"/>
      <c r="M4" s="4"/>
      <c r="N4" s="4"/>
      <c r="O4" s="4"/>
      <c r="P4" s="4"/>
      <c r="Q4" s="4"/>
      <c r="R4" s="4"/>
      <c r="S4" s="4"/>
      <c r="T4" s="4"/>
      <c r="U4" s="4"/>
      <c r="V4" s="4"/>
      <c r="W4" s="4"/>
      <c r="X4" s="4"/>
      <c r="Y4" s="4"/>
      <c r="Z4" s="4"/>
    </row>
    <row r="5" ht="45.0" customHeight="1">
      <c r="A5" s="6" t="s">
        <v>34</v>
      </c>
      <c r="B5" s="6" t="s">
        <v>36</v>
      </c>
      <c r="C5" s="6" t="s">
        <v>37</v>
      </c>
      <c r="D5" s="6" t="s">
        <v>38</v>
      </c>
      <c r="E5" s="4"/>
      <c r="F5" s="4"/>
      <c r="G5" s="4"/>
      <c r="H5" s="4"/>
      <c r="I5" s="4"/>
      <c r="J5" s="4"/>
      <c r="K5" s="4"/>
      <c r="L5" s="4"/>
      <c r="M5" s="4"/>
      <c r="N5" s="4"/>
      <c r="O5" s="4"/>
      <c r="P5" s="4"/>
      <c r="Q5" s="4"/>
      <c r="R5" s="4"/>
      <c r="S5" s="4"/>
      <c r="T5" s="4"/>
      <c r="U5" s="4"/>
      <c r="V5" s="4"/>
      <c r="W5" s="4"/>
      <c r="X5" s="4"/>
      <c r="Y5" s="4"/>
      <c r="Z5" s="4"/>
    </row>
    <row r="6" ht="45.0" customHeight="1">
      <c r="A6" s="6" t="s">
        <v>43</v>
      </c>
      <c r="B6" s="6" t="s">
        <v>44</v>
      </c>
      <c r="C6" s="6" t="s">
        <v>45</v>
      </c>
      <c r="D6" s="6" t="s">
        <v>46</v>
      </c>
      <c r="E6" s="4"/>
      <c r="F6" s="4"/>
      <c r="G6" s="4"/>
      <c r="H6" s="4"/>
      <c r="I6" s="4"/>
      <c r="J6" s="4"/>
      <c r="K6" s="4"/>
      <c r="L6" s="4"/>
      <c r="M6" s="4"/>
      <c r="N6" s="4"/>
      <c r="O6" s="4"/>
      <c r="P6" s="4"/>
      <c r="Q6" s="4"/>
      <c r="R6" s="4"/>
      <c r="S6" s="4"/>
      <c r="T6" s="4"/>
      <c r="U6" s="4"/>
      <c r="V6" s="4"/>
      <c r="W6" s="4"/>
      <c r="X6" s="4"/>
      <c r="Y6" s="4"/>
      <c r="Z6" s="4"/>
    </row>
    <row r="7" ht="15.0" customHeight="1">
      <c r="A7" s="4"/>
      <c r="B7" s="4"/>
      <c r="C7" s="4"/>
      <c r="D7" s="4"/>
      <c r="E7" s="4"/>
      <c r="F7" s="4"/>
      <c r="G7" s="4"/>
      <c r="H7" s="4"/>
      <c r="I7" s="4"/>
      <c r="J7" s="4"/>
      <c r="K7" s="4"/>
      <c r="L7" s="4"/>
      <c r="M7" s="4"/>
      <c r="N7" s="4"/>
      <c r="O7" s="4"/>
      <c r="P7" s="4"/>
      <c r="Q7" s="4"/>
      <c r="R7" s="4"/>
      <c r="S7" s="4"/>
      <c r="T7" s="4"/>
      <c r="U7" s="4"/>
      <c r="V7" s="4"/>
      <c r="W7" s="4"/>
      <c r="X7" s="4"/>
      <c r="Y7" s="4"/>
      <c r="Z7" s="4"/>
    </row>
    <row r="8" ht="15.0" customHeight="1">
      <c r="A8" s="1" t="s">
        <v>50</v>
      </c>
      <c r="B8" s="4"/>
      <c r="C8" s="4"/>
      <c r="D8" s="4"/>
      <c r="E8" s="4"/>
      <c r="F8" s="4"/>
      <c r="G8" s="4"/>
      <c r="H8" s="4"/>
      <c r="I8" s="4"/>
      <c r="J8" s="4"/>
      <c r="K8" s="4"/>
      <c r="L8" s="4"/>
      <c r="M8" s="4"/>
      <c r="N8" s="4"/>
      <c r="O8" s="4"/>
      <c r="P8" s="4"/>
      <c r="Q8" s="4"/>
      <c r="R8" s="4"/>
      <c r="S8" s="4"/>
      <c r="T8" s="4"/>
      <c r="U8" s="4"/>
      <c r="V8" s="4"/>
      <c r="W8" s="4"/>
      <c r="X8" s="4"/>
      <c r="Y8" s="4"/>
      <c r="Z8" s="4"/>
    </row>
    <row r="9" ht="15.0" customHeight="1">
      <c r="A9" s="3" t="s">
        <v>54</v>
      </c>
      <c r="B9" s="3" t="s">
        <v>55</v>
      </c>
      <c r="C9" s="3" t="s">
        <v>4</v>
      </c>
      <c r="D9" s="3"/>
      <c r="E9" s="4"/>
      <c r="F9" s="4"/>
      <c r="G9" s="4"/>
      <c r="H9" s="4"/>
      <c r="I9" s="4"/>
      <c r="J9" s="4"/>
      <c r="K9" s="4"/>
      <c r="L9" s="4"/>
      <c r="M9" s="4"/>
      <c r="N9" s="4"/>
      <c r="O9" s="4"/>
      <c r="P9" s="4"/>
      <c r="Q9" s="4"/>
      <c r="R9" s="4"/>
      <c r="S9" s="4"/>
      <c r="T9" s="4"/>
      <c r="U9" s="4"/>
      <c r="V9" s="4"/>
      <c r="W9" s="4"/>
      <c r="X9" s="4"/>
      <c r="Y9" s="4"/>
      <c r="Z9" s="4"/>
    </row>
    <row r="10" ht="31.5" customHeight="1">
      <c r="A10" s="6" t="s">
        <v>60</v>
      </c>
      <c r="B10" s="6" t="s">
        <v>61</v>
      </c>
      <c r="C10" s="6" t="s">
        <v>62</v>
      </c>
      <c r="D10" s="4"/>
      <c r="E10" s="4"/>
      <c r="F10" s="4"/>
      <c r="G10" s="4"/>
      <c r="H10" s="4"/>
      <c r="I10" s="4"/>
      <c r="J10" s="4"/>
      <c r="K10" s="4"/>
      <c r="L10" s="4"/>
      <c r="M10" s="4"/>
      <c r="N10" s="4"/>
      <c r="O10" s="4"/>
      <c r="P10" s="4"/>
      <c r="Q10" s="4"/>
      <c r="R10" s="4"/>
      <c r="S10" s="4"/>
      <c r="T10" s="4"/>
      <c r="U10" s="4"/>
      <c r="V10" s="4"/>
      <c r="W10" s="4"/>
      <c r="X10" s="4"/>
      <c r="Y10" s="4"/>
      <c r="Z10" s="4"/>
    </row>
    <row r="11" ht="31.5" customHeight="1">
      <c r="A11" s="6" t="s">
        <v>60</v>
      </c>
      <c r="B11" s="6" t="s">
        <v>66</v>
      </c>
      <c r="C11" s="6" t="s">
        <v>67</v>
      </c>
      <c r="D11" s="4"/>
      <c r="E11" s="4"/>
      <c r="F11" s="4"/>
      <c r="G11" s="4"/>
      <c r="H11" s="4"/>
      <c r="I11" s="4"/>
      <c r="J11" s="4"/>
      <c r="K11" s="4"/>
      <c r="L11" s="4"/>
      <c r="M11" s="4"/>
      <c r="N11" s="4"/>
      <c r="O11" s="4"/>
      <c r="P11" s="4"/>
      <c r="Q11" s="4"/>
      <c r="R11" s="4"/>
      <c r="S11" s="4"/>
      <c r="T11" s="4"/>
      <c r="U11" s="4"/>
      <c r="V11" s="4"/>
      <c r="W11" s="4"/>
      <c r="X11" s="4"/>
      <c r="Y11" s="4"/>
      <c r="Z11" s="4"/>
    </row>
    <row r="12" ht="31.5" customHeight="1">
      <c r="A12" s="6" t="s">
        <v>60</v>
      </c>
      <c r="B12" s="6" t="s">
        <v>73</v>
      </c>
      <c r="C12" s="6" t="s">
        <v>74</v>
      </c>
      <c r="D12" s="4"/>
      <c r="E12" s="4"/>
      <c r="F12" s="4"/>
      <c r="G12" s="4"/>
      <c r="H12" s="4"/>
      <c r="I12" s="4"/>
      <c r="J12" s="4"/>
      <c r="K12" s="4"/>
      <c r="L12" s="4"/>
      <c r="M12" s="4"/>
      <c r="N12" s="4"/>
      <c r="O12" s="4"/>
      <c r="P12" s="4"/>
      <c r="Q12" s="4"/>
      <c r="R12" s="4"/>
      <c r="S12" s="4"/>
      <c r="T12" s="4"/>
      <c r="U12" s="4"/>
      <c r="V12" s="4"/>
      <c r="W12" s="4"/>
      <c r="X12" s="4"/>
      <c r="Y12" s="4"/>
      <c r="Z12" s="4"/>
    </row>
    <row r="13" ht="31.5" customHeight="1">
      <c r="A13" s="6" t="s">
        <v>78</v>
      </c>
      <c r="B13" s="6" t="s">
        <v>79</v>
      </c>
      <c r="C13" s="6" t="s">
        <v>80</v>
      </c>
      <c r="D13" s="4"/>
      <c r="E13" s="4"/>
      <c r="F13" s="4"/>
      <c r="G13" s="4"/>
      <c r="H13" s="4"/>
      <c r="I13" s="4"/>
      <c r="J13" s="4"/>
      <c r="K13" s="4"/>
      <c r="L13" s="4"/>
      <c r="M13" s="4"/>
      <c r="N13" s="4"/>
      <c r="O13" s="4"/>
      <c r="P13" s="4"/>
      <c r="Q13" s="4"/>
      <c r="R13" s="4"/>
      <c r="S13" s="4"/>
      <c r="T13" s="4"/>
      <c r="U13" s="4"/>
      <c r="V13" s="4"/>
      <c r="W13" s="4"/>
      <c r="X13" s="4"/>
      <c r="Y13" s="4"/>
      <c r="Z13" s="4"/>
    </row>
    <row r="14" ht="31.5" customHeight="1">
      <c r="A14" s="6" t="s">
        <v>78</v>
      </c>
      <c r="B14" s="6" t="s">
        <v>85</v>
      </c>
      <c r="C14" s="6" t="s">
        <v>86</v>
      </c>
      <c r="D14" s="4"/>
      <c r="E14" s="4"/>
      <c r="F14" s="4"/>
      <c r="G14" s="4"/>
      <c r="H14" s="4"/>
      <c r="I14" s="4"/>
      <c r="J14" s="4"/>
      <c r="K14" s="4"/>
      <c r="L14" s="4"/>
      <c r="M14" s="4"/>
      <c r="N14" s="4"/>
      <c r="O14" s="4"/>
      <c r="P14" s="4"/>
      <c r="Q14" s="4"/>
      <c r="R14" s="4"/>
      <c r="S14" s="4"/>
      <c r="T14" s="4"/>
      <c r="U14" s="4"/>
      <c r="V14" s="4"/>
      <c r="W14" s="4"/>
      <c r="X14" s="4"/>
      <c r="Y14" s="4"/>
      <c r="Z14" s="4"/>
    </row>
    <row r="15" ht="31.5" customHeight="1">
      <c r="A15" s="6" t="s">
        <v>87</v>
      </c>
      <c r="B15" s="6" t="s">
        <v>88</v>
      </c>
      <c r="C15" s="6" t="s">
        <v>89</v>
      </c>
      <c r="D15" s="4"/>
      <c r="E15" s="4"/>
      <c r="F15" s="4"/>
      <c r="G15" s="4"/>
      <c r="H15" s="4"/>
      <c r="I15" s="4"/>
      <c r="J15" s="4"/>
      <c r="K15" s="4"/>
      <c r="L15" s="4"/>
      <c r="M15" s="4"/>
      <c r="N15" s="4"/>
      <c r="O15" s="4"/>
      <c r="P15" s="4"/>
      <c r="Q15" s="4"/>
      <c r="R15" s="4"/>
      <c r="S15" s="4"/>
      <c r="T15" s="4"/>
      <c r="U15" s="4"/>
      <c r="V15" s="4"/>
      <c r="W15" s="4"/>
      <c r="X15" s="4"/>
      <c r="Y15" s="4"/>
      <c r="Z15" s="4"/>
    </row>
    <row r="16" ht="31.5" customHeight="1">
      <c r="A16" s="6" t="s">
        <v>90</v>
      </c>
      <c r="B16" s="11" t="s">
        <v>91</v>
      </c>
      <c r="C16" s="6" t="s">
        <v>98</v>
      </c>
      <c r="D16" s="4"/>
      <c r="E16" s="4"/>
      <c r="F16" s="4"/>
      <c r="G16" s="4"/>
      <c r="H16" s="4"/>
      <c r="I16" s="4"/>
      <c r="J16" s="4"/>
      <c r="K16" s="4"/>
      <c r="L16" s="4"/>
      <c r="M16" s="4"/>
      <c r="N16" s="4"/>
      <c r="O16" s="4"/>
      <c r="P16" s="4"/>
      <c r="Q16" s="4"/>
      <c r="R16" s="4"/>
      <c r="S16" s="4"/>
      <c r="T16" s="4"/>
      <c r="U16" s="4"/>
      <c r="V16" s="4"/>
      <c r="W16" s="4"/>
      <c r="X16" s="4"/>
      <c r="Y16" s="4"/>
      <c r="Z16" s="4"/>
    </row>
    <row r="17" ht="31.5" customHeight="1">
      <c r="A17" s="6" t="s">
        <v>78</v>
      </c>
      <c r="B17" s="6" t="s">
        <v>102</v>
      </c>
      <c r="C17" s="6" t="s">
        <v>103</v>
      </c>
      <c r="D17" s="4"/>
      <c r="E17" s="4"/>
      <c r="F17" s="4"/>
      <c r="G17" s="4"/>
      <c r="H17" s="4"/>
      <c r="I17" s="4"/>
      <c r="J17" s="4"/>
      <c r="K17" s="4"/>
      <c r="L17" s="4"/>
      <c r="M17" s="4"/>
      <c r="N17" s="4"/>
      <c r="O17" s="4"/>
      <c r="P17" s="4"/>
      <c r="Q17" s="4"/>
      <c r="R17" s="4"/>
      <c r="S17" s="4"/>
      <c r="T17" s="4"/>
      <c r="U17" s="4"/>
      <c r="V17" s="4"/>
      <c r="W17" s="4"/>
      <c r="X17" s="4"/>
      <c r="Y17" s="4"/>
      <c r="Z17" s="4"/>
    </row>
    <row r="18" ht="31.5" customHeight="1">
      <c r="A18" s="6" t="s">
        <v>78</v>
      </c>
      <c r="B18" s="6" t="s">
        <v>104</v>
      </c>
      <c r="C18" s="6" t="s">
        <v>105</v>
      </c>
      <c r="D18" s="4"/>
      <c r="E18" s="4"/>
      <c r="F18" s="4"/>
      <c r="G18" s="4"/>
      <c r="H18" s="4"/>
      <c r="I18" s="4"/>
      <c r="J18" s="4"/>
      <c r="K18" s="4"/>
      <c r="L18" s="4"/>
      <c r="M18" s="4"/>
      <c r="N18" s="4"/>
      <c r="O18" s="4"/>
      <c r="P18" s="4"/>
      <c r="Q18" s="4"/>
      <c r="R18" s="4"/>
      <c r="S18" s="4"/>
      <c r="T18" s="4"/>
      <c r="U18" s="4"/>
      <c r="V18" s="4"/>
      <c r="W18" s="4"/>
      <c r="X18" s="4"/>
      <c r="Y18" s="4"/>
      <c r="Z18" s="4"/>
    </row>
    <row r="19" ht="31.5" customHeight="1">
      <c r="A19" s="6" t="s">
        <v>106</v>
      </c>
      <c r="B19" s="6" t="s">
        <v>107</v>
      </c>
      <c r="C19" s="6" t="s">
        <v>109</v>
      </c>
      <c r="D19" s="4"/>
      <c r="E19" s="4"/>
      <c r="F19" s="4"/>
      <c r="G19" s="4"/>
      <c r="H19" s="4"/>
      <c r="I19" s="4"/>
      <c r="J19" s="4"/>
      <c r="K19" s="4"/>
      <c r="L19" s="4"/>
      <c r="M19" s="4"/>
      <c r="N19" s="4"/>
      <c r="O19" s="4"/>
      <c r="P19" s="4"/>
      <c r="Q19" s="4"/>
      <c r="R19" s="4"/>
      <c r="S19" s="4"/>
      <c r="T19" s="4"/>
      <c r="U19" s="4"/>
      <c r="V19" s="4"/>
      <c r="W19" s="4"/>
      <c r="X19" s="4"/>
      <c r="Y19" s="4"/>
      <c r="Z19" s="4"/>
    </row>
    <row r="20" ht="31.5" customHeight="1">
      <c r="A20" s="6" t="s">
        <v>114</v>
      </c>
      <c r="B20" s="6" t="s">
        <v>115</v>
      </c>
      <c r="C20" s="6" t="s">
        <v>116</v>
      </c>
      <c r="D20" s="4"/>
      <c r="E20" s="4"/>
      <c r="F20" s="4"/>
      <c r="G20" s="4"/>
      <c r="H20" s="4"/>
      <c r="I20" s="4"/>
      <c r="J20" s="4"/>
      <c r="K20" s="4"/>
      <c r="L20" s="4"/>
      <c r="M20" s="4"/>
      <c r="N20" s="4"/>
      <c r="O20" s="4"/>
      <c r="P20" s="4"/>
      <c r="Q20" s="4"/>
      <c r="R20" s="4"/>
      <c r="S20" s="4"/>
      <c r="T20" s="4"/>
      <c r="U20" s="4"/>
      <c r="V20" s="4"/>
      <c r="W20" s="4"/>
      <c r="X20" s="4"/>
      <c r="Y20" s="4"/>
      <c r="Z20" s="4"/>
    </row>
    <row r="21" ht="31.5" customHeight="1">
      <c r="A21" s="6" t="s">
        <v>118</v>
      </c>
      <c r="B21" s="6" t="s">
        <v>119</v>
      </c>
      <c r="C21" s="6" t="s">
        <v>120</v>
      </c>
      <c r="D21" s="4"/>
      <c r="E21" s="4"/>
      <c r="F21" s="4"/>
      <c r="G21" s="4"/>
      <c r="H21" s="4"/>
      <c r="I21" s="4"/>
      <c r="J21" s="4"/>
      <c r="K21" s="4"/>
      <c r="L21" s="4"/>
      <c r="M21" s="4"/>
      <c r="N21" s="4"/>
      <c r="O21" s="4"/>
      <c r="P21" s="4"/>
      <c r="Q21" s="4"/>
      <c r="R21" s="4"/>
      <c r="S21" s="4"/>
      <c r="T21" s="4"/>
      <c r="U21" s="4"/>
      <c r="V21" s="4"/>
      <c r="W21" s="4"/>
      <c r="X21" s="4"/>
      <c r="Y21" s="4"/>
      <c r="Z21" s="4"/>
    </row>
    <row r="22" ht="31.5" customHeight="1">
      <c r="A22" s="6" t="s">
        <v>123</v>
      </c>
      <c r="B22" s="6" t="s">
        <v>124</v>
      </c>
      <c r="C22" s="6" t="s">
        <v>126</v>
      </c>
      <c r="D22" s="4"/>
      <c r="E22" s="4"/>
      <c r="F22" s="4"/>
      <c r="G22" s="4"/>
      <c r="H22" s="4"/>
      <c r="I22" s="4"/>
      <c r="J22" s="4"/>
      <c r="K22" s="4"/>
      <c r="L22" s="4"/>
      <c r="M22" s="4"/>
      <c r="N22" s="4"/>
      <c r="O22" s="4"/>
      <c r="P22" s="4"/>
      <c r="Q22" s="4"/>
      <c r="R22" s="4"/>
      <c r="S22" s="4"/>
      <c r="T22" s="4"/>
      <c r="U22" s="4"/>
      <c r="V22" s="4"/>
      <c r="W22" s="4"/>
      <c r="X22" s="4"/>
      <c r="Y22" s="4"/>
      <c r="Z22" s="4"/>
    </row>
    <row r="23" ht="31.5" customHeight="1">
      <c r="A23" s="6" t="s">
        <v>129</v>
      </c>
      <c r="B23" s="6" t="s">
        <v>130</v>
      </c>
      <c r="C23" s="6" t="s">
        <v>131</v>
      </c>
      <c r="D23" s="4"/>
      <c r="E23" s="4"/>
      <c r="F23" s="4"/>
      <c r="G23" s="4"/>
      <c r="H23" s="4"/>
      <c r="I23" s="4"/>
      <c r="J23" s="4"/>
      <c r="K23" s="4"/>
      <c r="L23" s="4"/>
      <c r="M23" s="4"/>
      <c r="N23" s="4"/>
      <c r="O23" s="4"/>
      <c r="P23" s="4"/>
      <c r="Q23" s="4"/>
      <c r="R23" s="4"/>
      <c r="S23" s="4"/>
      <c r="T23" s="4"/>
      <c r="U23" s="4"/>
      <c r="V23" s="4"/>
      <c r="W23" s="4"/>
      <c r="X23" s="4"/>
      <c r="Y23" s="4"/>
      <c r="Z23" s="4"/>
    </row>
    <row r="24" ht="31.5" customHeight="1">
      <c r="A24" s="6" t="s">
        <v>137</v>
      </c>
      <c r="B24" s="6" t="s">
        <v>138</v>
      </c>
      <c r="C24" s="6" t="s">
        <v>141</v>
      </c>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27.75" customHeight="1">
      <c r="A26" s="12" t="s">
        <v>146</v>
      </c>
      <c r="B26" s="13"/>
      <c r="C26" s="13"/>
      <c r="D26" s="13"/>
      <c r="E26" s="4"/>
      <c r="F26" s="4"/>
      <c r="G26" s="4"/>
      <c r="H26" s="4"/>
      <c r="I26" s="4"/>
      <c r="J26" s="4"/>
      <c r="K26" s="4"/>
      <c r="L26" s="4"/>
      <c r="M26" s="4"/>
      <c r="N26" s="4"/>
      <c r="O26" s="4"/>
      <c r="P26" s="4"/>
      <c r="Q26" s="4"/>
      <c r="R26" s="4"/>
      <c r="S26" s="4"/>
      <c r="T26" s="4"/>
      <c r="U26" s="4"/>
      <c r="V26" s="4"/>
      <c r="W26" s="4"/>
      <c r="X26" s="4"/>
      <c r="Y26" s="4"/>
      <c r="Z26" s="4"/>
    </row>
    <row r="27" ht="15.0" customHeight="1">
      <c r="A27" s="16" t="s">
        <v>10</v>
      </c>
      <c r="B27" s="16" t="s">
        <v>11</v>
      </c>
      <c r="C27" s="16" t="s">
        <v>12</v>
      </c>
      <c r="D27" s="16" t="s">
        <v>4</v>
      </c>
      <c r="E27" s="4"/>
      <c r="F27" s="4"/>
      <c r="G27" s="4"/>
      <c r="H27" s="4"/>
      <c r="I27" s="4"/>
      <c r="J27" s="4"/>
      <c r="K27" s="4"/>
      <c r="L27" s="4"/>
      <c r="M27" s="4"/>
      <c r="N27" s="4"/>
      <c r="O27" s="4"/>
      <c r="P27" s="4"/>
      <c r="Q27" s="4"/>
      <c r="R27" s="4"/>
      <c r="S27" s="4"/>
      <c r="T27" s="4"/>
      <c r="U27" s="4"/>
      <c r="V27" s="4"/>
      <c r="W27" s="4"/>
      <c r="X27" s="4"/>
      <c r="Y27" s="4"/>
      <c r="Z27" s="4"/>
    </row>
    <row r="28" ht="41.25" customHeight="1">
      <c r="A28" s="13" t="s">
        <v>155</v>
      </c>
      <c r="B28" s="13" t="s">
        <v>156</v>
      </c>
      <c r="C28" s="13" t="s">
        <v>157</v>
      </c>
      <c r="D28" s="13" t="s">
        <v>158</v>
      </c>
      <c r="E28" s="4"/>
      <c r="F28" s="4"/>
      <c r="G28" s="4"/>
      <c r="H28" s="4"/>
      <c r="I28" s="4"/>
      <c r="J28" s="4"/>
      <c r="K28" s="4"/>
      <c r="L28" s="4"/>
      <c r="M28" s="4"/>
      <c r="N28" s="4"/>
      <c r="O28" s="4"/>
      <c r="P28" s="4"/>
      <c r="Q28" s="4"/>
      <c r="R28" s="4"/>
      <c r="S28" s="4"/>
      <c r="T28" s="4"/>
      <c r="U28" s="4"/>
      <c r="V28" s="4"/>
      <c r="W28" s="4"/>
      <c r="X28" s="4"/>
      <c r="Y28" s="4"/>
      <c r="Z28" s="4"/>
    </row>
    <row r="29" ht="41.25" customHeight="1">
      <c r="A29" s="13" t="s">
        <v>159</v>
      </c>
      <c r="B29" s="13" t="s">
        <v>160</v>
      </c>
      <c r="C29" s="13" t="s">
        <v>157</v>
      </c>
      <c r="D29" s="13" t="s">
        <v>161</v>
      </c>
      <c r="E29" s="4"/>
      <c r="F29" s="4"/>
      <c r="G29" s="4"/>
      <c r="H29" s="4"/>
      <c r="I29" s="4"/>
      <c r="J29" s="4"/>
      <c r="K29" s="4"/>
      <c r="L29" s="4"/>
      <c r="M29" s="4"/>
      <c r="N29" s="4"/>
      <c r="O29" s="4"/>
      <c r="P29" s="4"/>
      <c r="Q29" s="4"/>
      <c r="R29" s="4"/>
      <c r="S29" s="4"/>
      <c r="T29" s="4"/>
      <c r="U29" s="4"/>
      <c r="V29" s="4"/>
      <c r="W29" s="4"/>
      <c r="X29" s="4"/>
      <c r="Y29" s="4"/>
      <c r="Z29" s="4"/>
    </row>
    <row r="30" ht="41.25" customHeight="1">
      <c r="A30" s="13" t="s">
        <v>162</v>
      </c>
      <c r="B30" s="13" t="s">
        <v>163</v>
      </c>
      <c r="C30" s="13" t="s">
        <v>164</v>
      </c>
      <c r="D30" s="13" t="s">
        <v>165</v>
      </c>
      <c r="E30" s="4"/>
      <c r="F30" s="4"/>
      <c r="G30" s="4"/>
      <c r="H30" s="4"/>
      <c r="I30" s="4"/>
      <c r="J30" s="4"/>
      <c r="K30" s="4"/>
      <c r="L30" s="4"/>
      <c r="M30" s="4"/>
      <c r="N30" s="4"/>
      <c r="O30" s="4"/>
      <c r="P30" s="4"/>
      <c r="Q30" s="4"/>
      <c r="R30" s="4"/>
      <c r="S30" s="4"/>
      <c r="T30" s="4"/>
      <c r="U30" s="4"/>
      <c r="V30" s="4"/>
      <c r="W30" s="4"/>
      <c r="X30" s="4"/>
      <c r="Y30" s="4"/>
      <c r="Z30" s="4"/>
    </row>
    <row r="31" ht="27.75" customHeight="1">
      <c r="A31" s="13" t="s">
        <v>167</v>
      </c>
      <c r="B31" s="13" t="s">
        <v>168</v>
      </c>
      <c r="C31" s="13" t="s">
        <v>157</v>
      </c>
      <c r="D31" s="13" t="s">
        <v>169</v>
      </c>
      <c r="E31" s="4"/>
      <c r="F31" s="4"/>
      <c r="G31" s="4"/>
      <c r="H31" s="4"/>
      <c r="I31" s="4"/>
      <c r="J31" s="4"/>
      <c r="K31" s="4"/>
      <c r="L31" s="4"/>
      <c r="M31" s="4"/>
      <c r="N31" s="4"/>
      <c r="O31" s="4"/>
      <c r="P31" s="4"/>
      <c r="Q31" s="4"/>
      <c r="R31" s="4"/>
      <c r="S31" s="4"/>
      <c r="T31" s="4"/>
      <c r="U31" s="4"/>
      <c r="V31" s="4"/>
      <c r="W31" s="4"/>
      <c r="X31" s="4"/>
      <c r="Y31" s="4"/>
      <c r="Z31" s="4"/>
    </row>
    <row r="32" ht="27.75" customHeight="1">
      <c r="A32" s="13" t="s">
        <v>171</v>
      </c>
      <c r="B32" s="13" t="s">
        <v>172</v>
      </c>
      <c r="C32" s="13" t="s">
        <v>157</v>
      </c>
      <c r="D32" s="13" t="s">
        <v>173</v>
      </c>
      <c r="E32" s="4"/>
      <c r="F32" s="4"/>
      <c r="G32" s="4"/>
      <c r="H32" s="4"/>
      <c r="I32" s="4"/>
      <c r="J32" s="4"/>
      <c r="K32" s="4"/>
      <c r="L32" s="4"/>
      <c r="M32" s="4"/>
      <c r="N32" s="4"/>
      <c r="O32" s="4"/>
      <c r="P32" s="4"/>
      <c r="Q32" s="4"/>
      <c r="R32" s="4"/>
      <c r="S32" s="4"/>
      <c r="T32" s="4"/>
      <c r="U32" s="4"/>
      <c r="V32" s="4"/>
      <c r="W32" s="4"/>
      <c r="X32" s="4"/>
      <c r="Y32" s="4"/>
      <c r="Z32" s="4"/>
    </row>
    <row r="33" ht="27.75" customHeight="1">
      <c r="A33" s="13" t="s">
        <v>174</v>
      </c>
      <c r="B33" s="13" t="s">
        <v>175</v>
      </c>
      <c r="C33" s="13" t="s">
        <v>157</v>
      </c>
      <c r="D33" s="13" t="s">
        <v>176</v>
      </c>
      <c r="E33" s="4"/>
      <c r="F33" s="4"/>
      <c r="G33" s="4"/>
      <c r="H33" s="4"/>
      <c r="I33" s="4"/>
      <c r="J33" s="4"/>
      <c r="K33" s="4"/>
      <c r="L33" s="4"/>
      <c r="M33" s="4"/>
      <c r="N33" s="4"/>
      <c r="O33" s="4"/>
      <c r="P33" s="4"/>
      <c r="Q33" s="4"/>
      <c r="R33" s="4"/>
      <c r="S33" s="4"/>
      <c r="T33" s="4"/>
      <c r="U33" s="4"/>
      <c r="V33" s="4"/>
      <c r="W33" s="4"/>
      <c r="X33" s="4"/>
      <c r="Y33" s="4"/>
      <c r="Z33" s="4"/>
    </row>
    <row r="34" ht="15.0" customHeight="1">
      <c r="A34" s="13" t="s">
        <v>179</v>
      </c>
      <c r="B34" s="13" t="s">
        <v>180</v>
      </c>
      <c r="C34" s="13" t="s">
        <v>157</v>
      </c>
      <c r="D34" s="13" t="s">
        <v>181</v>
      </c>
      <c r="E34" s="4"/>
      <c r="F34" s="4"/>
      <c r="G34" s="4"/>
      <c r="H34" s="4"/>
      <c r="I34" s="4"/>
      <c r="J34" s="4"/>
      <c r="K34" s="4"/>
      <c r="L34" s="4"/>
      <c r="M34" s="4"/>
      <c r="N34" s="4"/>
      <c r="O34" s="4"/>
      <c r="P34" s="4"/>
      <c r="Q34" s="4"/>
      <c r="R34" s="4"/>
      <c r="S34" s="4"/>
      <c r="T34" s="4"/>
      <c r="U34" s="4"/>
      <c r="V34" s="4"/>
      <c r="W34" s="4"/>
      <c r="X34" s="4"/>
      <c r="Y34" s="4"/>
      <c r="Z34" s="4"/>
    </row>
    <row r="35" ht="27.75" customHeight="1">
      <c r="A35" s="13" t="s">
        <v>182</v>
      </c>
      <c r="B35" s="13" t="s">
        <v>183</v>
      </c>
      <c r="C35" s="13" t="s">
        <v>157</v>
      </c>
      <c r="D35" s="13" t="s">
        <v>184</v>
      </c>
      <c r="E35" s="4"/>
      <c r="F35" s="4"/>
      <c r="G35" s="4"/>
      <c r="H35" s="4"/>
      <c r="I35" s="4"/>
      <c r="J35" s="4"/>
      <c r="K35" s="4"/>
      <c r="L35" s="4"/>
      <c r="M35" s="4"/>
      <c r="N35" s="4"/>
      <c r="O35" s="4"/>
      <c r="P35" s="4"/>
      <c r="Q35" s="4"/>
      <c r="R35" s="4"/>
      <c r="S35" s="4"/>
      <c r="T35" s="4"/>
      <c r="U35" s="4"/>
      <c r="V35" s="4"/>
      <c r="W35" s="4"/>
      <c r="X35" s="4"/>
      <c r="Y35" s="4"/>
      <c r="Z35" s="4"/>
    </row>
    <row r="36" ht="27.75" customHeight="1">
      <c r="A36" s="13" t="s">
        <v>186</v>
      </c>
      <c r="B36" s="13" t="s">
        <v>187</v>
      </c>
      <c r="C36" s="13" t="s">
        <v>157</v>
      </c>
      <c r="D36" s="13" t="s">
        <v>188</v>
      </c>
      <c r="E36" s="4"/>
      <c r="F36" s="4"/>
      <c r="G36" s="4"/>
      <c r="H36" s="4"/>
      <c r="I36" s="4"/>
      <c r="J36" s="4"/>
      <c r="K36" s="4"/>
      <c r="L36" s="4"/>
      <c r="M36" s="4"/>
      <c r="N36" s="4"/>
      <c r="O36" s="4"/>
      <c r="P36" s="4"/>
      <c r="Q36" s="4"/>
      <c r="R36" s="4"/>
      <c r="S36" s="4"/>
      <c r="T36" s="4"/>
      <c r="U36" s="4"/>
      <c r="V36" s="4"/>
      <c r="W36" s="4"/>
      <c r="X36" s="4"/>
      <c r="Y36" s="4"/>
      <c r="Z36" s="4"/>
    </row>
    <row r="37" ht="27.75" customHeight="1">
      <c r="A37" s="13" t="s">
        <v>191</v>
      </c>
      <c r="B37" s="13" t="s">
        <v>192</v>
      </c>
      <c r="C37" s="13" t="s">
        <v>157</v>
      </c>
      <c r="D37" s="13" t="s">
        <v>193</v>
      </c>
      <c r="E37" s="4"/>
      <c r="F37" s="4"/>
      <c r="G37" s="4"/>
      <c r="H37" s="4"/>
      <c r="I37" s="4"/>
      <c r="J37" s="4"/>
      <c r="K37" s="4"/>
      <c r="L37" s="4"/>
      <c r="M37" s="4"/>
      <c r="N37" s="4"/>
      <c r="O37" s="4"/>
      <c r="P37" s="4"/>
      <c r="Q37" s="4"/>
      <c r="R37" s="4"/>
      <c r="S37" s="4"/>
      <c r="T37" s="4"/>
      <c r="U37" s="4"/>
      <c r="V37" s="4"/>
      <c r="W37" s="4"/>
      <c r="X37" s="4"/>
      <c r="Y37" s="4"/>
      <c r="Z37" s="4"/>
    </row>
    <row r="38" ht="15.75" customHeight="1">
      <c r="A38" s="4" t="s">
        <v>196</v>
      </c>
      <c r="B38" s="4" t="s">
        <v>197</v>
      </c>
      <c r="C38" s="13" t="s">
        <v>19</v>
      </c>
      <c r="D38" s="4" t="s">
        <v>198</v>
      </c>
      <c r="E38" s="4"/>
      <c r="F38" s="4"/>
      <c r="G38" s="4"/>
      <c r="H38" s="4"/>
      <c r="I38" s="4"/>
      <c r="J38" s="4"/>
      <c r="K38" s="4"/>
      <c r="L38" s="4"/>
      <c r="M38" s="4"/>
      <c r="N38" s="4"/>
      <c r="O38" s="4"/>
      <c r="P38" s="4"/>
      <c r="Q38" s="4"/>
      <c r="R38" s="4"/>
      <c r="S38" s="4"/>
      <c r="T38" s="4"/>
      <c r="U38" s="4"/>
      <c r="V38" s="4"/>
      <c r="W38" s="4"/>
      <c r="X38" s="4"/>
      <c r="Y38" s="4"/>
      <c r="Z38" s="4"/>
    </row>
    <row r="39" ht="15.75" customHeight="1">
      <c r="A39" s="4" t="s">
        <v>199</v>
      </c>
      <c r="B39" s="4" t="s">
        <v>200</v>
      </c>
      <c r="C39" s="4" t="s">
        <v>19</v>
      </c>
      <c r="D39" s="4" t="s">
        <v>201</v>
      </c>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27.75" customHeight="1">
      <c r="A41" s="12"/>
      <c r="B41" s="4"/>
      <c r="C41" s="4"/>
      <c r="D41" s="13"/>
      <c r="E41" s="4"/>
      <c r="F41" s="4"/>
      <c r="G41" s="4"/>
      <c r="H41" s="4"/>
      <c r="I41" s="4"/>
      <c r="J41" s="4"/>
      <c r="K41" s="4"/>
      <c r="L41" s="4"/>
      <c r="M41" s="4"/>
      <c r="N41" s="4"/>
      <c r="O41" s="4"/>
      <c r="P41" s="4"/>
      <c r="Q41" s="4"/>
      <c r="R41" s="4"/>
      <c r="S41" s="4"/>
      <c r="T41" s="4"/>
      <c r="U41" s="4"/>
      <c r="V41" s="4"/>
      <c r="W41" s="4"/>
      <c r="X41" s="4"/>
      <c r="Y41" s="4"/>
      <c r="Z41" s="4"/>
    </row>
    <row r="42" ht="27.75" customHeight="1">
      <c r="A42" s="12" t="s">
        <v>204</v>
      </c>
      <c r="B42" s="13"/>
      <c r="C42" s="13"/>
      <c r="D42" s="13"/>
      <c r="E42" s="4"/>
      <c r="F42" s="4"/>
      <c r="G42" s="4"/>
      <c r="H42" s="4"/>
      <c r="I42" s="4"/>
      <c r="J42" s="4"/>
      <c r="K42" s="4"/>
      <c r="L42" s="4"/>
      <c r="M42" s="4"/>
      <c r="N42" s="4"/>
      <c r="O42" s="4"/>
      <c r="P42" s="4"/>
      <c r="Q42" s="4"/>
      <c r="R42" s="4"/>
      <c r="S42" s="4"/>
      <c r="T42" s="4"/>
      <c r="U42" s="4"/>
      <c r="V42" s="4"/>
      <c r="W42" s="4"/>
      <c r="X42" s="4"/>
      <c r="Y42" s="4"/>
      <c r="Z42" s="4"/>
    </row>
    <row r="43" ht="68.25" customHeight="1">
      <c r="A43" s="13" t="s">
        <v>205</v>
      </c>
      <c r="B43" s="13" t="s">
        <v>206</v>
      </c>
      <c r="C43" s="13"/>
      <c r="D43" s="13" t="s">
        <v>207</v>
      </c>
      <c r="E43" s="4"/>
      <c r="F43" s="4"/>
      <c r="G43" s="4"/>
      <c r="H43" s="4"/>
      <c r="I43" s="4"/>
      <c r="J43" s="4"/>
      <c r="K43" s="4"/>
      <c r="L43" s="4"/>
      <c r="M43" s="4"/>
      <c r="N43" s="4"/>
      <c r="O43" s="4"/>
      <c r="P43" s="4"/>
      <c r="Q43" s="4"/>
      <c r="R43" s="4"/>
      <c r="S43" s="4"/>
      <c r="T43" s="4"/>
      <c r="U43" s="4"/>
      <c r="V43" s="4"/>
      <c r="W43" s="4"/>
      <c r="X43" s="4"/>
      <c r="Y43" s="4"/>
      <c r="Z43" s="4"/>
    </row>
    <row r="44" ht="54.75" customHeight="1">
      <c r="A44" s="13" t="s">
        <v>208</v>
      </c>
      <c r="B44" s="13" t="s">
        <v>209</v>
      </c>
      <c r="C44" s="13"/>
      <c r="D44" s="13" t="s">
        <v>210</v>
      </c>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B16"/>
  </hyperlinks>
  <printOptions/>
  <pageMargins bottom="1.0" footer="0.0" header="0.0" left="0.75" right="0.75" top="1.0"/>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0"/>
    <col customWidth="1" min="2" max="2" width="55.0"/>
    <col customWidth="1" min="3" max="3" width="70.0"/>
    <col customWidth="1" min="4" max="6" width="8.71"/>
  </cols>
  <sheetData>
    <row r="1" ht="15.0" customHeight="1">
      <c r="A1" s="3" t="s">
        <v>2</v>
      </c>
      <c r="B1" s="3" t="s">
        <v>3</v>
      </c>
      <c r="C1" s="3" t="s">
        <v>4</v>
      </c>
      <c r="D1" s="4"/>
      <c r="E1" s="4"/>
      <c r="F1" s="4"/>
      <c r="G1" s="4"/>
      <c r="H1" s="4"/>
      <c r="I1" s="4"/>
      <c r="J1" s="4"/>
      <c r="K1" s="4"/>
      <c r="L1" s="4"/>
      <c r="M1" s="4"/>
      <c r="N1" s="4"/>
      <c r="O1" s="4"/>
      <c r="P1" s="4"/>
      <c r="Q1" s="4"/>
      <c r="R1" s="4"/>
      <c r="S1" s="4"/>
      <c r="T1" s="4"/>
      <c r="U1" s="4"/>
      <c r="V1" s="4"/>
      <c r="W1" s="4"/>
      <c r="X1" s="4"/>
      <c r="Y1" s="4"/>
      <c r="Z1" s="4"/>
    </row>
    <row r="2" ht="42.0" customHeight="1">
      <c r="A2" s="6" t="s">
        <v>7</v>
      </c>
      <c r="B2" s="6" t="s">
        <v>8</v>
      </c>
      <c r="C2" s="6" t="s">
        <v>9</v>
      </c>
      <c r="D2" s="4"/>
      <c r="E2" s="4"/>
      <c r="F2" s="4"/>
      <c r="G2" s="4"/>
      <c r="H2" s="4"/>
      <c r="I2" s="4"/>
      <c r="J2" s="4"/>
      <c r="K2" s="4"/>
      <c r="L2" s="4"/>
      <c r="M2" s="4"/>
      <c r="N2" s="4"/>
      <c r="O2" s="4"/>
      <c r="P2" s="4"/>
      <c r="Q2" s="4"/>
      <c r="R2" s="4"/>
      <c r="S2" s="4"/>
      <c r="T2" s="4"/>
      <c r="U2" s="4"/>
      <c r="V2" s="4"/>
      <c r="W2" s="4"/>
      <c r="X2" s="4"/>
      <c r="Y2" s="4"/>
      <c r="Z2" s="4"/>
    </row>
    <row r="3" ht="42.0" customHeight="1">
      <c r="A3" s="6" t="s">
        <v>13</v>
      </c>
      <c r="B3" s="6" t="s">
        <v>14</v>
      </c>
      <c r="C3" s="6" t="s">
        <v>15</v>
      </c>
      <c r="D3" s="4"/>
      <c r="E3" s="4"/>
      <c r="F3" s="4"/>
      <c r="G3" s="4"/>
      <c r="H3" s="4"/>
      <c r="I3" s="4"/>
      <c r="J3" s="4"/>
      <c r="K3" s="4"/>
      <c r="L3" s="4"/>
      <c r="M3" s="4"/>
      <c r="N3" s="4"/>
      <c r="O3" s="4"/>
      <c r="P3" s="4"/>
      <c r="Q3" s="4"/>
      <c r="R3" s="4"/>
      <c r="S3" s="4"/>
      <c r="T3" s="4"/>
      <c r="U3" s="4"/>
      <c r="V3" s="4"/>
      <c r="W3" s="4"/>
      <c r="X3" s="4"/>
      <c r="Y3" s="4"/>
      <c r="Z3" s="4"/>
    </row>
    <row r="4" ht="42.0" customHeight="1">
      <c r="A4" s="6" t="s">
        <v>21</v>
      </c>
      <c r="B4" s="6" t="s">
        <v>22</v>
      </c>
      <c r="C4" s="6" t="s">
        <v>23</v>
      </c>
      <c r="D4" s="4"/>
      <c r="E4" s="4"/>
      <c r="F4" s="4"/>
      <c r="G4" s="4"/>
      <c r="H4" s="4"/>
      <c r="I4" s="4"/>
      <c r="J4" s="4"/>
      <c r="K4" s="4"/>
      <c r="L4" s="4"/>
      <c r="M4" s="4"/>
      <c r="N4" s="4"/>
      <c r="O4" s="4"/>
      <c r="P4" s="4"/>
      <c r="Q4" s="4"/>
      <c r="R4" s="4"/>
      <c r="S4" s="4"/>
      <c r="T4" s="4"/>
      <c r="U4" s="4"/>
      <c r="V4" s="4"/>
      <c r="W4" s="4"/>
      <c r="X4" s="4"/>
      <c r="Y4" s="4"/>
      <c r="Z4" s="4"/>
    </row>
    <row r="5" ht="42.0" customHeight="1">
      <c r="A5" s="6" t="s">
        <v>25</v>
      </c>
      <c r="B5" s="6" t="s">
        <v>27</v>
      </c>
      <c r="C5" s="6" t="s">
        <v>29</v>
      </c>
      <c r="D5" s="4"/>
      <c r="E5" s="4"/>
      <c r="F5" s="4"/>
      <c r="G5" s="4"/>
      <c r="H5" s="4"/>
      <c r="I5" s="4"/>
      <c r="J5" s="4"/>
      <c r="K5" s="4"/>
      <c r="L5" s="4"/>
      <c r="M5" s="4"/>
      <c r="N5" s="4"/>
      <c r="O5" s="4"/>
      <c r="P5" s="4"/>
      <c r="Q5" s="4"/>
      <c r="R5" s="4"/>
      <c r="S5" s="4"/>
      <c r="T5" s="4"/>
      <c r="U5" s="4"/>
      <c r="V5" s="4"/>
      <c r="W5" s="4"/>
      <c r="X5" s="4"/>
      <c r="Y5" s="4"/>
      <c r="Z5" s="4"/>
    </row>
    <row r="6" ht="42.0" customHeight="1">
      <c r="A6" s="6" t="s">
        <v>32</v>
      </c>
      <c r="B6" s="6" t="s">
        <v>33</v>
      </c>
      <c r="C6" s="6" t="s">
        <v>35</v>
      </c>
      <c r="D6" s="4"/>
      <c r="E6" s="4"/>
      <c r="F6" s="4"/>
      <c r="G6" s="4"/>
      <c r="H6" s="4"/>
      <c r="I6" s="4"/>
      <c r="J6" s="4"/>
      <c r="K6" s="4"/>
      <c r="L6" s="4"/>
      <c r="M6" s="4"/>
      <c r="N6" s="4"/>
      <c r="O6" s="4"/>
      <c r="P6" s="4"/>
      <c r="Q6" s="4"/>
      <c r="R6" s="4"/>
      <c r="S6" s="4"/>
      <c r="T6" s="4"/>
      <c r="U6" s="4"/>
      <c r="V6" s="4"/>
      <c r="W6" s="4"/>
      <c r="X6" s="4"/>
      <c r="Y6" s="4"/>
      <c r="Z6" s="4"/>
    </row>
    <row r="7" ht="42.0" customHeight="1">
      <c r="A7" s="6" t="s">
        <v>40</v>
      </c>
      <c r="B7" s="6" t="s">
        <v>41</v>
      </c>
      <c r="C7" s="6" t="s">
        <v>42</v>
      </c>
      <c r="D7" s="4"/>
      <c r="E7" s="4"/>
      <c r="F7" s="4"/>
      <c r="G7" s="4"/>
      <c r="H7" s="4"/>
      <c r="I7" s="4"/>
      <c r="J7" s="4"/>
      <c r="K7" s="4"/>
      <c r="L7" s="4"/>
      <c r="M7" s="4"/>
      <c r="N7" s="4"/>
      <c r="O7" s="4"/>
      <c r="P7" s="4"/>
      <c r="Q7" s="4"/>
      <c r="R7" s="4"/>
      <c r="S7" s="4"/>
      <c r="T7" s="4"/>
      <c r="U7" s="4"/>
      <c r="V7" s="4"/>
      <c r="W7" s="4"/>
      <c r="X7" s="4"/>
      <c r="Y7" s="4"/>
      <c r="Z7" s="4"/>
    </row>
    <row r="8" ht="42.0" customHeight="1">
      <c r="A8" s="6" t="s">
        <v>47</v>
      </c>
      <c r="B8" s="6" t="s">
        <v>45</v>
      </c>
      <c r="C8" s="6" t="s">
        <v>48</v>
      </c>
      <c r="D8" s="4"/>
      <c r="E8" s="4"/>
      <c r="F8" s="4"/>
      <c r="G8" s="4"/>
      <c r="H8" s="4"/>
      <c r="I8" s="4"/>
      <c r="J8" s="4"/>
      <c r="K8" s="4"/>
      <c r="L8" s="4"/>
      <c r="M8" s="4"/>
      <c r="N8" s="4"/>
      <c r="O8" s="4"/>
      <c r="P8" s="4"/>
      <c r="Q8" s="4"/>
      <c r="R8" s="4"/>
      <c r="S8" s="4"/>
      <c r="T8" s="4"/>
      <c r="U8" s="4"/>
      <c r="V8" s="4"/>
      <c r="W8" s="4"/>
      <c r="X8" s="4"/>
      <c r="Y8" s="4"/>
      <c r="Z8" s="4"/>
    </row>
    <row r="9" ht="42.0" customHeight="1">
      <c r="A9" s="6" t="s">
        <v>51</v>
      </c>
      <c r="B9" s="6" t="s">
        <v>52</v>
      </c>
      <c r="C9" s="6" t="s">
        <v>53</v>
      </c>
      <c r="D9" s="4"/>
      <c r="E9" s="4"/>
      <c r="F9" s="4"/>
      <c r="G9" s="4"/>
      <c r="H9" s="4"/>
      <c r="I9" s="4"/>
      <c r="J9" s="4"/>
      <c r="K9" s="4"/>
      <c r="L9" s="4"/>
      <c r="M9" s="4"/>
      <c r="N9" s="4"/>
      <c r="O9" s="4"/>
      <c r="P9" s="4"/>
      <c r="Q9" s="4"/>
      <c r="R9" s="4"/>
      <c r="S9" s="4"/>
      <c r="T9" s="4"/>
      <c r="U9" s="4"/>
      <c r="V9" s="4"/>
      <c r="W9" s="4"/>
      <c r="X9" s="4"/>
      <c r="Y9" s="4"/>
      <c r="Z9" s="4"/>
    </row>
    <row r="10" ht="42.0" customHeight="1">
      <c r="A10" s="6" t="s">
        <v>56</v>
      </c>
      <c r="B10" s="6" t="s">
        <v>57</v>
      </c>
      <c r="C10" s="6" t="s">
        <v>59</v>
      </c>
      <c r="D10" s="4"/>
      <c r="E10" s="4"/>
      <c r="F10" s="4"/>
      <c r="G10" s="4"/>
      <c r="H10" s="4"/>
      <c r="I10" s="4"/>
      <c r="J10" s="4"/>
      <c r="K10" s="4"/>
      <c r="L10" s="4"/>
      <c r="M10" s="4"/>
      <c r="N10" s="4"/>
      <c r="O10" s="4"/>
      <c r="P10" s="4"/>
      <c r="Q10" s="4"/>
      <c r="R10" s="4"/>
      <c r="S10" s="4"/>
      <c r="T10" s="4"/>
      <c r="U10" s="4"/>
      <c r="V10" s="4"/>
      <c r="W10" s="4"/>
      <c r="X10" s="4"/>
      <c r="Y10" s="4"/>
      <c r="Z10" s="4"/>
    </row>
    <row r="11" ht="42.0" customHeight="1">
      <c r="A11" s="6" t="s">
        <v>63</v>
      </c>
      <c r="B11" s="6" t="s">
        <v>64</v>
      </c>
      <c r="C11" s="6" t="s">
        <v>65</v>
      </c>
      <c r="D11" s="4"/>
      <c r="E11" s="4"/>
      <c r="F11" s="4"/>
      <c r="G11" s="4"/>
      <c r="H11" s="4"/>
      <c r="I11" s="4"/>
      <c r="J11" s="4"/>
      <c r="K11" s="4"/>
      <c r="L11" s="4"/>
      <c r="M11" s="4"/>
      <c r="N11" s="4"/>
      <c r="O11" s="4"/>
      <c r="P11" s="4"/>
      <c r="Q11" s="4"/>
      <c r="R11" s="4"/>
      <c r="S11" s="4"/>
      <c r="T11" s="4"/>
      <c r="U11" s="4"/>
      <c r="V11" s="4"/>
      <c r="W11" s="4"/>
      <c r="X11" s="4"/>
      <c r="Y11" s="4"/>
      <c r="Z11" s="4"/>
    </row>
    <row r="12" ht="42.0" customHeight="1">
      <c r="A12" s="6" t="s">
        <v>68</v>
      </c>
      <c r="B12" s="8" t="s">
        <v>70</v>
      </c>
      <c r="C12" s="6" t="s">
        <v>72</v>
      </c>
      <c r="D12" s="4"/>
      <c r="E12" s="4"/>
      <c r="F12" s="4"/>
      <c r="G12" s="4"/>
      <c r="H12" s="4"/>
      <c r="I12" s="4"/>
      <c r="J12" s="4"/>
      <c r="K12" s="4"/>
      <c r="L12" s="4"/>
      <c r="M12" s="4"/>
      <c r="N12" s="4"/>
      <c r="O12" s="4"/>
      <c r="P12" s="4"/>
      <c r="Q12" s="4"/>
      <c r="R12" s="4"/>
      <c r="S12" s="4"/>
      <c r="T12" s="4"/>
      <c r="U12" s="4"/>
      <c r="V12" s="4"/>
      <c r="W12" s="4"/>
      <c r="X12" s="4"/>
      <c r="Y12" s="4"/>
      <c r="Z12" s="4"/>
    </row>
    <row r="13" ht="42.0" customHeight="1">
      <c r="A13" s="6" t="s">
        <v>75</v>
      </c>
      <c r="B13" s="6" t="s">
        <v>76</v>
      </c>
      <c r="C13" s="6" t="s">
        <v>77</v>
      </c>
      <c r="D13" s="4"/>
      <c r="E13" s="4"/>
      <c r="F13" s="4"/>
      <c r="G13" s="4"/>
      <c r="H13" s="4"/>
      <c r="I13" s="4"/>
      <c r="J13" s="4"/>
      <c r="K13" s="4"/>
      <c r="L13" s="4"/>
      <c r="M13" s="4"/>
      <c r="N13" s="4"/>
      <c r="O13" s="4"/>
      <c r="P13" s="4"/>
      <c r="Q13" s="4"/>
      <c r="R13" s="4"/>
      <c r="S13" s="4"/>
      <c r="T13" s="4"/>
      <c r="U13" s="4"/>
      <c r="V13" s="4"/>
      <c r="W13" s="4"/>
      <c r="X13" s="4"/>
      <c r="Y13" s="4"/>
      <c r="Z13" s="4"/>
    </row>
    <row r="14" ht="42.0" customHeight="1">
      <c r="A14" s="6" t="s">
        <v>81</v>
      </c>
      <c r="B14" s="10" t="s">
        <v>82</v>
      </c>
      <c r="C14" s="6" t="s">
        <v>92</v>
      </c>
      <c r="D14" s="4"/>
      <c r="E14" s="4"/>
      <c r="F14" s="4"/>
      <c r="G14" s="4"/>
      <c r="H14" s="4"/>
      <c r="I14" s="4"/>
      <c r="J14" s="4"/>
      <c r="K14" s="4"/>
      <c r="L14" s="4"/>
      <c r="M14" s="4"/>
      <c r="N14" s="4"/>
      <c r="O14" s="4"/>
      <c r="P14" s="4"/>
      <c r="Q14" s="4"/>
      <c r="R14" s="4"/>
      <c r="S14" s="4"/>
      <c r="T14" s="4"/>
      <c r="U14" s="4"/>
      <c r="V14" s="4"/>
      <c r="W14" s="4"/>
      <c r="X14" s="4"/>
      <c r="Y14" s="4"/>
      <c r="Z14" s="4"/>
    </row>
    <row r="15" ht="42.0" customHeight="1">
      <c r="A15" s="6" t="s">
        <v>93</v>
      </c>
      <c r="B15" s="6" t="s">
        <v>95</v>
      </c>
      <c r="C15" s="6" t="s">
        <v>96</v>
      </c>
      <c r="D15" s="4"/>
      <c r="E15" s="4"/>
      <c r="F15" s="4"/>
      <c r="G15" s="4"/>
      <c r="H15" s="4"/>
      <c r="I15" s="4"/>
      <c r="J15" s="4"/>
      <c r="K15" s="4"/>
      <c r="L15" s="4"/>
      <c r="M15" s="4"/>
      <c r="N15" s="4"/>
      <c r="O15" s="4"/>
      <c r="P15" s="4"/>
      <c r="Q15" s="4"/>
      <c r="R15" s="4"/>
      <c r="S15" s="4"/>
      <c r="T15" s="4"/>
      <c r="U15" s="4"/>
      <c r="V15" s="4"/>
      <c r="W15" s="4"/>
      <c r="X15" s="4"/>
      <c r="Y15" s="4"/>
      <c r="Z15" s="4"/>
    </row>
    <row r="16" ht="42.0" customHeight="1">
      <c r="A16" s="6" t="s">
        <v>99</v>
      </c>
      <c r="B16" s="6" t="s">
        <v>100</v>
      </c>
      <c r="C16" s="6" t="s">
        <v>101</v>
      </c>
      <c r="D16" s="4"/>
      <c r="E16" s="4"/>
      <c r="F16" s="4"/>
      <c r="G16" s="4"/>
      <c r="H16" s="4"/>
      <c r="I16" s="4"/>
      <c r="J16" s="4"/>
      <c r="K16" s="4"/>
      <c r="L16" s="4"/>
      <c r="M16" s="4"/>
      <c r="N16" s="4"/>
      <c r="O16" s="4"/>
      <c r="P16" s="4"/>
      <c r="Q16" s="4"/>
      <c r="R16" s="4"/>
      <c r="S16" s="4"/>
      <c r="T16" s="4"/>
      <c r="U16" s="4"/>
      <c r="V16" s="4"/>
      <c r="W16" s="4"/>
      <c r="X16" s="4"/>
      <c r="Y16" s="4"/>
      <c r="Z16" s="4"/>
    </row>
    <row r="17" ht="15.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27.75" customHeight="1">
      <c r="A18" s="12" t="s">
        <v>108</v>
      </c>
      <c r="B18" s="13"/>
      <c r="C18" s="13"/>
      <c r="D18" s="4"/>
      <c r="E18" s="4"/>
      <c r="F18" s="4"/>
      <c r="G18" s="4"/>
      <c r="H18" s="4"/>
      <c r="I18" s="4"/>
      <c r="J18" s="4"/>
      <c r="K18" s="4"/>
      <c r="L18" s="4"/>
      <c r="M18" s="4"/>
      <c r="N18" s="4"/>
      <c r="O18" s="4"/>
      <c r="P18" s="4"/>
      <c r="Q18" s="4"/>
      <c r="R18" s="4"/>
      <c r="S18" s="4"/>
      <c r="T18" s="4"/>
      <c r="U18" s="4"/>
      <c r="V18" s="4"/>
      <c r="W18" s="4"/>
      <c r="X18" s="4"/>
      <c r="Y18" s="4"/>
      <c r="Z18" s="4"/>
    </row>
    <row r="19" ht="54.75" customHeight="1">
      <c r="A19" s="13" t="s">
        <v>112</v>
      </c>
      <c r="B19" s="14" t="s">
        <v>113</v>
      </c>
      <c r="C19" s="13" t="s">
        <v>117</v>
      </c>
      <c r="D19" s="4"/>
      <c r="E19" s="4"/>
      <c r="F19" s="4"/>
      <c r="G19" s="4"/>
      <c r="H19" s="4"/>
      <c r="I19" s="4"/>
      <c r="J19" s="4"/>
      <c r="K19" s="4"/>
      <c r="L19" s="4"/>
      <c r="M19" s="4"/>
      <c r="N19" s="4"/>
      <c r="O19" s="4"/>
      <c r="P19" s="4"/>
      <c r="Q19" s="4"/>
      <c r="R19" s="4"/>
      <c r="S19" s="4"/>
      <c r="T19" s="4"/>
      <c r="U19" s="4"/>
      <c r="V19" s="4"/>
      <c r="W19" s="4"/>
      <c r="X19" s="4"/>
      <c r="Y19" s="4"/>
      <c r="Z19" s="4"/>
    </row>
    <row r="20" ht="27.75" customHeight="1">
      <c r="A20" s="13" t="s">
        <v>121</v>
      </c>
      <c r="B20" s="15" t="s">
        <v>122</v>
      </c>
      <c r="C20" s="13" t="s">
        <v>128</v>
      </c>
      <c r="D20" s="4"/>
      <c r="E20" s="4"/>
      <c r="F20" s="4"/>
      <c r="G20" s="4"/>
      <c r="H20" s="4"/>
      <c r="I20" s="4"/>
      <c r="J20" s="4"/>
      <c r="K20" s="4"/>
      <c r="L20" s="4"/>
      <c r="M20" s="4"/>
      <c r="N20" s="4"/>
      <c r="O20" s="4"/>
      <c r="P20" s="4"/>
      <c r="Q20" s="4"/>
      <c r="R20" s="4"/>
      <c r="S20" s="4"/>
      <c r="T20" s="4"/>
      <c r="U20" s="4"/>
      <c r="V20" s="4"/>
      <c r="W20" s="4"/>
      <c r="X20" s="4"/>
      <c r="Y20" s="4"/>
      <c r="Z20" s="4"/>
    </row>
    <row r="21" ht="27.75" customHeight="1">
      <c r="A21" s="13" t="s">
        <v>132</v>
      </c>
      <c r="B21" s="13" t="s">
        <v>133</v>
      </c>
      <c r="C21" s="13" t="s">
        <v>134</v>
      </c>
      <c r="D21" s="4"/>
      <c r="E21" s="4"/>
      <c r="F21" s="4"/>
      <c r="G21" s="4"/>
      <c r="H21" s="4"/>
      <c r="I21" s="4"/>
      <c r="J21" s="4"/>
      <c r="K21" s="4"/>
      <c r="L21" s="4"/>
      <c r="M21" s="4"/>
      <c r="N21" s="4"/>
      <c r="O21" s="4"/>
      <c r="P21" s="4"/>
      <c r="Q21" s="4"/>
      <c r="R21" s="4"/>
      <c r="S21" s="4"/>
      <c r="T21" s="4"/>
      <c r="U21" s="4"/>
      <c r="V21" s="4"/>
      <c r="W21" s="4"/>
      <c r="X21" s="4"/>
      <c r="Y21" s="4"/>
      <c r="Z21" s="4"/>
    </row>
    <row r="22" ht="41.25" customHeight="1">
      <c r="A22" s="13" t="s">
        <v>139</v>
      </c>
      <c r="B22" s="13" t="s">
        <v>140</v>
      </c>
      <c r="C22" s="13" t="s">
        <v>142</v>
      </c>
      <c r="D22" s="4"/>
      <c r="E22" s="4"/>
      <c r="F22" s="4"/>
      <c r="G22" s="4"/>
      <c r="H22" s="4"/>
      <c r="I22" s="4"/>
      <c r="J22" s="4"/>
      <c r="K22" s="4"/>
      <c r="L22" s="4"/>
      <c r="M22" s="4"/>
      <c r="N22" s="4"/>
      <c r="O22" s="4"/>
      <c r="P22" s="4"/>
      <c r="Q22" s="4"/>
      <c r="R22" s="4"/>
      <c r="S22" s="4"/>
      <c r="T22" s="4"/>
      <c r="U22" s="4"/>
      <c r="V22" s="4"/>
      <c r="W22" s="4"/>
      <c r="X22" s="4"/>
      <c r="Y22" s="4"/>
      <c r="Z22" s="4"/>
    </row>
    <row r="23" ht="54.75" customHeight="1">
      <c r="A23" s="13" t="s">
        <v>143</v>
      </c>
      <c r="B23" s="13" t="s">
        <v>144</v>
      </c>
      <c r="C23" s="13" t="s">
        <v>145</v>
      </c>
      <c r="D23" s="4"/>
      <c r="E23" s="4"/>
      <c r="F23" s="4"/>
      <c r="G23" s="4"/>
      <c r="H23" s="4"/>
      <c r="I23" s="4"/>
      <c r="J23" s="4"/>
      <c r="K23" s="4"/>
      <c r="L23" s="4"/>
      <c r="M23" s="4"/>
      <c r="N23" s="4"/>
      <c r="O23" s="4"/>
      <c r="P23" s="4"/>
      <c r="Q23" s="4"/>
      <c r="R23" s="4"/>
      <c r="S23" s="4"/>
      <c r="T23" s="4"/>
      <c r="U23" s="4"/>
      <c r="V23" s="4"/>
      <c r="W23" s="4"/>
      <c r="X23" s="4"/>
      <c r="Y23" s="4"/>
      <c r="Z23" s="4"/>
    </row>
    <row r="24" ht="54.75" customHeight="1">
      <c r="A24" s="13" t="s">
        <v>147</v>
      </c>
      <c r="B24" s="13" t="s">
        <v>148</v>
      </c>
      <c r="C24" s="13" t="s">
        <v>149</v>
      </c>
      <c r="D24" s="4"/>
      <c r="E24" s="4"/>
      <c r="F24" s="4"/>
      <c r="G24" s="4"/>
      <c r="H24" s="4"/>
      <c r="I24" s="4"/>
      <c r="J24" s="4"/>
      <c r="K24" s="4"/>
      <c r="L24" s="4"/>
      <c r="M24" s="4"/>
      <c r="N24" s="4"/>
      <c r="O24" s="4"/>
      <c r="P24" s="4"/>
      <c r="Q24" s="4"/>
      <c r="R24" s="4"/>
      <c r="S24" s="4"/>
      <c r="T24" s="4"/>
      <c r="U24" s="4"/>
      <c r="V24" s="4"/>
      <c r="W24" s="4"/>
      <c r="X24" s="4"/>
      <c r="Y24" s="4"/>
      <c r="Z24" s="4"/>
    </row>
    <row r="25" ht="41.25" customHeight="1">
      <c r="A25" s="13" t="s">
        <v>150</v>
      </c>
      <c r="B25" s="13" t="s">
        <v>151</v>
      </c>
      <c r="C25" s="13" t="s">
        <v>152</v>
      </c>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B14"/>
    <hyperlink r:id="rId2" ref="B19"/>
    <hyperlink r:id="rId3" ref="B20"/>
  </hyperlinks>
  <printOptions/>
  <pageMargins bottom="1.0" footer="0.0" header="0.0" left="0.75" right="0.75" top="1.0"/>
  <pageSetup paperSize="9"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90.0"/>
    <col customWidth="1" min="3" max="6" width="8.71"/>
  </cols>
  <sheetData>
    <row r="1" ht="17.25" customHeight="1">
      <c r="A1" s="2" t="s">
        <v>5</v>
      </c>
      <c r="B1" s="4"/>
      <c r="C1" s="4"/>
      <c r="D1" s="4"/>
      <c r="E1" s="4"/>
      <c r="F1" s="4"/>
      <c r="G1" s="4"/>
      <c r="H1" s="4"/>
      <c r="I1" s="4"/>
      <c r="J1" s="4"/>
      <c r="K1" s="4"/>
      <c r="L1" s="4"/>
      <c r="M1" s="4"/>
      <c r="N1" s="4"/>
      <c r="O1" s="4"/>
      <c r="P1" s="4"/>
      <c r="Q1" s="4"/>
      <c r="R1" s="4"/>
      <c r="S1" s="4"/>
      <c r="T1" s="4"/>
      <c r="U1" s="4"/>
      <c r="V1" s="4"/>
      <c r="W1" s="4"/>
      <c r="X1" s="4"/>
      <c r="Y1" s="4"/>
      <c r="Z1" s="4"/>
    </row>
    <row r="2" ht="15.0" customHeight="1">
      <c r="A2" s="5"/>
      <c r="B2" s="4"/>
      <c r="C2" s="4"/>
      <c r="D2" s="4"/>
      <c r="E2" s="4"/>
      <c r="F2" s="4"/>
      <c r="G2" s="4"/>
      <c r="H2" s="4"/>
      <c r="I2" s="4"/>
      <c r="J2" s="4"/>
      <c r="K2" s="4"/>
      <c r="L2" s="4"/>
      <c r="M2" s="4"/>
      <c r="N2" s="4"/>
      <c r="O2" s="4"/>
      <c r="P2" s="4"/>
      <c r="Q2" s="4"/>
      <c r="R2" s="4"/>
      <c r="S2" s="4"/>
      <c r="T2" s="4"/>
      <c r="U2" s="4"/>
      <c r="V2" s="4"/>
      <c r="W2" s="4"/>
      <c r="X2" s="4"/>
      <c r="Y2" s="4"/>
      <c r="Z2" s="4"/>
    </row>
    <row r="3" ht="15.0" customHeight="1">
      <c r="A3" s="4"/>
      <c r="B3" s="4"/>
      <c r="C3" s="4"/>
      <c r="D3" s="4"/>
      <c r="E3" s="4"/>
      <c r="F3" s="4"/>
      <c r="G3" s="4"/>
      <c r="H3" s="4"/>
      <c r="I3" s="4"/>
      <c r="J3" s="4"/>
      <c r="K3" s="4"/>
      <c r="L3" s="4"/>
      <c r="M3" s="4"/>
      <c r="N3" s="4"/>
      <c r="O3" s="4"/>
      <c r="P3" s="4"/>
      <c r="Q3" s="4"/>
      <c r="R3" s="4"/>
      <c r="S3" s="4"/>
      <c r="T3" s="4"/>
      <c r="U3" s="4"/>
      <c r="V3" s="4"/>
      <c r="W3" s="4"/>
      <c r="X3" s="4"/>
      <c r="Y3" s="4"/>
      <c r="Z3" s="4"/>
    </row>
    <row r="4" ht="15.0" customHeight="1">
      <c r="A4" s="1" t="s">
        <v>69</v>
      </c>
      <c r="B4" s="4"/>
      <c r="C4" s="4"/>
      <c r="D4" s="4"/>
      <c r="E4" s="4"/>
      <c r="F4" s="4"/>
      <c r="G4" s="4"/>
      <c r="H4" s="4"/>
      <c r="I4" s="4"/>
      <c r="J4" s="4"/>
      <c r="K4" s="4"/>
      <c r="L4" s="4"/>
      <c r="M4" s="4"/>
      <c r="N4" s="4"/>
      <c r="O4" s="4"/>
      <c r="P4" s="4"/>
      <c r="Q4" s="4"/>
      <c r="R4" s="4"/>
      <c r="S4" s="4"/>
      <c r="T4" s="4"/>
      <c r="U4" s="4"/>
      <c r="V4" s="4"/>
      <c r="W4" s="4"/>
      <c r="X4" s="4"/>
      <c r="Y4" s="4"/>
      <c r="Z4" s="4"/>
    </row>
    <row r="5" ht="30.0" customHeight="1">
      <c r="A5" s="7" t="s">
        <v>83</v>
      </c>
      <c r="B5" s="7" t="s">
        <v>84</v>
      </c>
      <c r="C5" s="4"/>
      <c r="D5" s="4"/>
      <c r="E5" s="4"/>
      <c r="F5" s="4"/>
      <c r="G5" s="4"/>
      <c r="H5" s="4"/>
      <c r="I5" s="4"/>
      <c r="J5" s="4"/>
      <c r="K5" s="4"/>
      <c r="L5" s="4"/>
      <c r="M5" s="4"/>
      <c r="N5" s="4"/>
      <c r="O5" s="4"/>
      <c r="P5" s="4"/>
      <c r="Q5" s="4"/>
      <c r="R5" s="4"/>
      <c r="S5" s="4"/>
      <c r="T5" s="4"/>
      <c r="U5" s="4"/>
      <c r="V5" s="4"/>
      <c r="W5" s="4"/>
      <c r="X5" s="4"/>
      <c r="Y5" s="4"/>
      <c r="Z5" s="4"/>
    </row>
    <row r="6" ht="46.5" customHeight="1">
      <c r="A6" s="7" t="s">
        <v>94</v>
      </c>
      <c r="B6" s="7" t="s">
        <v>97</v>
      </c>
      <c r="C6" s="4"/>
      <c r="D6" s="4"/>
      <c r="E6" s="4"/>
      <c r="F6" s="4"/>
      <c r="G6" s="4"/>
      <c r="H6" s="4"/>
      <c r="I6" s="4"/>
      <c r="J6" s="4"/>
      <c r="K6" s="4"/>
      <c r="L6" s="4"/>
      <c r="M6" s="4"/>
      <c r="N6" s="4"/>
      <c r="O6" s="4"/>
      <c r="P6" s="4"/>
      <c r="Q6" s="4"/>
      <c r="R6" s="4"/>
      <c r="S6" s="4"/>
      <c r="T6" s="4"/>
      <c r="U6" s="4"/>
      <c r="V6" s="4"/>
      <c r="W6" s="4"/>
      <c r="X6" s="4"/>
      <c r="Y6" s="4"/>
      <c r="Z6" s="4"/>
    </row>
    <row r="7" ht="46.5" customHeight="1">
      <c r="A7" s="7" t="s">
        <v>110</v>
      </c>
      <c r="B7" s="7" t="s">
        <v>111</v>
      </c>
      <c r="C7" s="4"/>
      <c r="D7" s="4"/>
      <c r="E7" s="4"/>
      <c r="F7" s="4"/>
      <c r="G7" s="4"/>
      <c r="H7" s="4"/>
      <c r="I7" s="4"/>
      <c r="J7" s="4"/>
      <c r="K7" s="4"/>
      <c r="L7" s="4"/>
      <c r="M7" s="4"/>
      <c r="N7" s="4"/>
      <c r="O7" s="4"/>
      <c r="P7" s="4"/>
      <c r="Q7" s="4"/>
      <c r="R7" s="4"/>
      <c r="S7" s="4"/>
      <c r="T7" s="4"/>
      <c r="U7" s="4"/>
      <c r="V7" s="4"/>
      <c r="W7" s="4"/>
      <c r="X7" s="4"/>
      <c r="Y7" s="4"/>
      <c r="Z7" s="4"/>
    </row>
    <row r="8" ht="33.0" customHeight="1">
      <c r="A8" s="7" t="s">
        <v>125</v>
      </c>
      <c r="B8" s="7" t="s">
        <v>127</v>
      </c>
      <c r="C8" s="4"/>
      <c r="D8" s="4"/>
      <c r="E8" s="4"/>
      <c r="F8" s="4"/>
      <c r="G8" s="4"/>
      <c r="H8" s="4"/>
      <c r="I8" s="4"/>
      <c r="J8" s="4"/>
      <c r="K8" s="4"/>
      <c r="L8" s="4"/>
      <c r="M8" s="4"/>
      <c r="N8" s="4"/>
      <c r="O8" s="4"/>
      <c r="P8" s="4"/>
      <c r="Q8" s="4"/>
      <c r="R8" s="4"/>
      <c r="S8" s="4"/>
      <c r="T8" s="4"/>
      <c r="U8" s="4"/>
      <c r="V8" s="4"/>
      <c r="W8" s="4"/>
      <c r="X8" s="4"/>
      <c r="Y8" s="4"/>
      <c r="Z8" s="4"/>
    </row>
    <row r="9" ht="100.5" customHeight="1">
      <c r="A9" s="7" t="s">
        <v>135</v>
      </c>
      <c r="B9" s="7" t="s">
        <v>136</v>
      </c>
      <c r="C9" s="4"/>
      <c r="D9" s="4"/>
      <c r="E9" s="4"/>
      <c r="F9" s="4"/>
      <c r="G9" s="4"/>
      <c r="H9" s="4"/>
      <c r="I9" s="4"/>
      <c r="J9" s="4"/>
      <c r="K9" s="4"/>
      <c r="L9" s="4"/>
      <c r="M9" s="4"/>
      <c r="N9" s="4"/>
      <c r="O9" s="4"/>
      <c r="P9" s="4"/>
      <c r="Q9" s="4"/>
      <c r="R9" s="4"/>
      <c r="S9" s="4"/>
      <c r="T9" s="4"/>
      <c r="U9" s="4"/>
      <c r="V9" s="4"/>
      <c r="W9" s="4"/>
      <c r="X9" s="4"/>
      <c r="Y9" s="4"/>
      <c r="Z9" s="4"/>
    </row>
    <row r="10" ht="33.0" customHeight="1">
      <c r="A10" s="7" t="s">
        <v>153</v>
      </c>
      <c r="B10" s="7" t="s">
        <v>154</v>
      </c>
      <c r="C10" s="4"/>
      <c r="D10" s="4"/>
      <c r="E10" s="4"/>
      <c r="F10" s="4"/>
      <c r="G10" s="4"/>
      <c r="H10" s="4"/>
      <c r="I10" s="4"/>
      <c r="J10" s="4"/>
      <c r="K10" s="4"/>
      <c r="L10" s="4"/>
      <c r="M10" s="4"/>
      <c r="N10" s="4"/>
      <c r="O10" s="4"/>
      <c r="P10" s="4"/>
      <c r="Q10" s="4"/>
      <c r="R10" s="4"/>
      <c r="S10" s="4"/>
      <c r="T10" s="4"/>
      <c r="U10" s="4"/>
      <c r="V10" s="4"/>
      <c r="W10" s="4"/>
      <c r="X10" s="4"/>
      <c r="Y10" s="4"/>
      <c r="Z10" s="4"/>
    </row>
    <row r="11" ht="30.0" customHeight="1">
      <c r="A11" s="7" t="s">
        <v>166</v>
      </c>
      <c r="B11" s="7" t="s">
        <v>170</v>
      </c>
      <c r="C11" s="4"/>
      <c r="D11" s="4"/>
      <c r="E11" s="4"/>
      <c r="F11" s="4"/>
      <c r="G11" s="4"/>
      <c r="H11" s="4"/>
      <c r="I11" s="4"/>
      <c r="J11" s="4"/>
      <c r="K11" s="4"/>
      <c r="L11" s="4"/>
      <c r="M11" s="4"/>
      <c r="N11" s="4"/>
      <c r="O11" s="4"/>
      <c r="P11" s="4"/>
      <c r="Q11" s="4"/>
      <c r="R11" s="4"/>
      <c r="S11" s="4"/>
      <c r="T11" s="4"/>
      <c r="U11" s="4"/>
      <c r="V11" s="4"/>
      <c r="W11" s="4"/>
      <c r="X11" s="4"/>
      <c r="Y11" s="4"/>
      <c r="Z11" s="4"/>
    </row>
    <row r="12" ht="33.0" customHeight="1">
      <c r="A12" s="7" t="s">
        <v>177</v>
      </c>
      <c r="B12" s="7" t="s">
        <v>178</v>
      </c>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1" t="s">
        <v>185</v>
      </c>
      <c r="B13" s="4"/>
      <c r="C13" s="4"/>
      <c r="D13" s="4"/>
      <c r="E13" s="4"/>
      <c r="F13" s="4"/>
      <c r="G13" s="4"/>
      <c r="H13" s="4"/>
      <c r="I13" s="4"/>
      <c r="J13" s="4"/>
      <c r="K13" s="4"/>
      <c r="L13" s="4"/>
      <c r="M13" s="4"/>
      <c r="N13" s="4"/>
      <c r="O13" s="4"/>
      <c r="P13" s="4"/>
      <c r="Q13" s="4"/>
      <c r="R13" s="4"/>
      <c r="S13" s="4"/>
      <c r="T13" s="4"/>
      <c r="U13" s="4"/>
      <c r="V13" s="4"/>
      <c r="W13" s="4"/>
      <c r="X13" s="4"/>
      <c r="Y13" s="4"/>
      <c r="Z13" s="4"/>
    </row>
    <row r="14" ht="73.5" customHeight="1">
      <c r="A14" s="7" t="s">
        <v>189</v>
      </c>
      <c r="B14" s="7" t="s">
        <v>190</v>
      </c>
      <c r="C14" s="4"/>
      <c r="D14" s="4"/>
      <c r="E14" s="4"/>
      <c r="F14" s="4"/>
      <c r="G14" s="4"/>
      <c r="H14" s="4"/>
      <c r="I14" s="4"/>
      <c r="J14" s="4"/>
      <c r="K14" s="4"/>
      <c r="L14" s="4"/>
      <c r="M14" s="4"/>
      <c r="N14" s="4"/>
      <c r="O14" s="4"/>
      <c r="P14" s="4"/>
      <c r="Q14" s="4"/>
      <c r="R14" s="4"/>
      <c r="S14" s="4"/>
      <c r="T14" s="4"/>
      <c r="U14" s="4"/>
      <c r="V14" s="4"/>
      <c r="W14" s="4"/>
      <c r="X14" s="4"/>
      <c r="Y14" s="4"/>
      <c r="Z14" s="4"/>
    </row>
    <row r="15" ht="46.5" customHeight="1">
      <c r="A15" s="7" t="s">
        <v>194</v>
      </c>
      <c r="B15" s="7" t="s">
        <v>195</v>
      </c>
      <c r="C15" s="4"/>
      <c r="D15" s="4"/>
      <c r="E15" s="4"/>
      <c r="F15" s="4"/>
      <c r="G15" s="4"/>
      <c r="H15" s="4"/>
      <c r="I15" s="4"/>
      <c r="J15" s="4"/>
      <c r="K15" s="4"/>
      <c r="L15" s="4"/>
      <c r="M15" s="4"/>
      <c r="N15" s="4"/>
      <c r="O15" s="4"/>
      <c r="P15" s="4"/>
      <c r="Q15" s="4"/>
      <c r="R15" s="4"/>
      <c r="S15" s="4"/>
      <c r="T15" s="4"/>
      <c r="U15" s="4"/>
      <c r="V15" s="4"/>
      <c r="W15" s="4"/>
      <c r="X15" s="4"/>
      <c r="Y15" s="4"/>
      <c r="Z15" s="4"/>
    </row>
    <row r="16" ht="46.5" customHeight="1">
      <c r="A16" s="7" t="s">
        <v>202</v>
      </c>
      <c r="B16" s="7" t="s">
        <v>203</v>
      </c>
      <c r="C16" s="4"/>
      <c r="D16" s="4"/>
      <c r="E16" s="4"/>
      <c r="F16" s="4"/>
      <c r="G16" s="4"/>
      <c r="H16" s="4"/>
      <c r="I16" s="4"/>
      <c r="J16" s="4"/>
      <c r="K16" s="4"/>
      <c r="L16" s="4"/>
      <c r="M16" s="4"/>
      <c r="N16" s="4"/>
      <c r="O16" s="4"/>
      <c r="P16" s="4"/>
      <c r="Q16" s="4"/>
      <c r="R16" s="4"/>
      <c r="S16" s="4"/>
      <c r="T16" s="4"/>
      <c r="U16" s="4"/>
      <c r="V16" s="4"/>
      <c r="W16" s="4"/>
      <c r="X16" s="4"/>
      <c r="Y16" s="4"/>
      <c r="Z16" s="4"/>
    </row>
    <row r="17" ht="33.0" customHeight="1">
      <c r="A17" s="7" t="s">
        <v>211</v>
      </c>
      <c r="B17" s="7" t="s">
        <v>212</v>
      </c>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1" t="s">
        <v>213</v>
      </c>
      <c r="B18" s="4"/>
      <c r="C18" s="4"/>
      <c r="D18" s="4"/>
      <c r="E18" s="4"/>
      <c r="F18" s="4"/>
      <c r="G18" s="4"/>
      <c r="H18" s="4"/>
      <c r="I18" s="4"/>
      <c r="J18" s="4"/>
      <c r="K18" s="4"/>
      <c r="L18" s="4"/>
      <c r="M18" s="4"/>
      <c r="N18" s="4"/>
      <c r="O18" s="4"/>
      <c r="P18" s="4"/>
      <c r="Q18" s="4"/>
      <c r="R18" s="4"/>
      <c r="S18" s="4"/>
      <c r="T18" s="4"/>
      <c r="U18" s="4"/>
      <c r="V18" s="4"/>
      <c r="W18" s="4"/>
      <c r="X18" s="4"/>
      <c r="Y18" s="4"/>
      <c r="Z18" s="4"/>
    </row>
    <row r="19" ht="33.0" customHeight="1">
      <c r="A19" s="7" t="s">
        <v>214</v>
      </c>
      <c r="B19" s="7" t="s">
        <v>215</v>
      </c>
      <c r="C19" s="4"/>
      <c r="D19" s="4"/>
      <c r="E19" s="4"/>
      <c r="F19" s="4"/>
      <c r="G19" s="4"/>
      <c r="H19" s="4"/>
      <c r="I19" s="4"/>
      <c r="J19" s="4"/>
      <c r="K19" s="4"/>
      <c r="L19" s="4"/>
      <c r="M19" s="4"/>
      <c r="N19" s="4"/>
      <c r="O19" s="4"/>
      <c r="P19" s="4"/>
      <c r="Q19" s="4"/>
      <c r="R19" s="4"/>
      <c r="S19" s="4"/>
      <c r="T19" s="4"/>
      <c r="U19" s="4"/>
      <c r="V19" s="4"/>
      <c r="W19" s="4"/>
      <c r="X19" s="4"/>
      <c r="Y19" s="4"/>
      <c r="Z19" s="4"/>
    </row>
    <row r="20" ht="46.5" customHeight="1">
      <c r="A20" s="7" t="s">
        <v>216</v>
      </c>
      <c r="B20" s="7" t="s">
        <v>217</v>
      </c>
      <c r="C20" s="4"/>
      <c r="D20" s="4"/>
      <c r="E20" s="4"/>
      <c r="F20" s="4"/>
      <c r="G20" s="4"/>
      <c r="H20" s="4"/>
      <c r="I20" s="4"/>
      <c r="J20" s="4"/>
      <c r="K20" s="4"/>
      <c r="L20" s="4"/>
      <c r="M20" s="4"/>
      <c r="N20" s="4"/>
      <c r="O20" s="4"/>
      <c r="P20" s="4"/>
      <c r="Q20" s="4"/>
      <c r="R20" s="4"/>
      <c r="S20" s="4"/>
      <c r="T20" s="4"/>
      <c r="U20" s="4"/>
      <c r="V20" s="4"/>
      <c r="W20" s="4"/>
      <c r="X20" s="4"/>
      <c r="Y20" s="4"/>
      <c r="Z20" s="4"/>
    </row>
    <row r="21" ht="46.5" customHeight="1">
      <c r="A21" s="7" t="s">
        <v>218</v>
      </c>
      <c r="B21" s="7" t="s">
        <v>219</v>
      </c>
      <c r="C21" s="4"/>
      <c r="D21" s="4"/>
      <c r="E21" s="4"/>
      <c r="F21" s="4"/>
      <c r="G21" s="4"/>
      <c r="H21" s="4"/>
      <c r="I21" s="4"/>
      <c r="J21" s="4"/>
      <c r="K21" s="4"/>
      <c r="L21" s="4"/>
      <c r="M21" s="4"/>
      <c r="N21" s="4"/>
      <c r="O21" s="4"/>
      <c r="P21" s="4"/>
      <c r="Q21" s="4"/>
      <c r="R21" s="4"/>
      <c r="S21" s="4"/>
      <c r="T21" s="4"/>
      <c r="U21" s="4"/>
      <c r="V21" s="4"/>
      <c r="W21" s="4"/>
      <c r="X21" s="4"/>
      <c r="Y21" s="4"/>
      <c r="Z21" s="4"/>
    </row>
    <row r="22" ht="46.5" customHeight="1">
      <c r="A22" s="7" t="s">
        <v>220</v>
      </c>
      <c r="B22" s="7" t="s">
        <v>221</v>
      </c>
      <c r="C22" s="4"/>
      <c r="D22" s="4"/>
      <c r="E22" s="4"/>
      <c r="F22" s="4"/>
      <c r="G22" s="4"/>
      <c r="H22" s="4"/>
      <c r="I22" s="4"/>
      <c r="J22" s="4"/>
      <c r="K22" s="4"/>
      <c r="L22" s="4"/>
      <c r="M22" s="4"/>
      <c r="N22" s="4"/>
      <c r="O22" s="4"/>
      <c r="P22" s="4"/>
      <c r="Q22" s="4"/>
      <c r="R22" s="4"/>
      <c r="S22" s="4"/>
      <c r="T22" s="4"/>
      <c r="U22" s="4"/>
      <c r="V22" s="4"/>
      <c r="W22" s="4"/>
      <c r="X22" s="4"/>
      <c r="Y22" s="4"/>
      <c r="Z22" s="4"/>
    </row>
    <row r="23" ht="33.0" customHeight="1">
      <c r="A23" s="7" t="s">
        <v>222</v>
      </c>
      <c r="B23" s="7" t="s">
        <v>223</v>
      </c>
      <c r="C23" s="4"/>
      <c r="D23" s="4"/>
      <c r="E23" s="4"/>
      <c r="F23" s="4"/>
      <c r="G23" s="4"/>
      <c r="H23" s="4"/>
      <c r="I23" s="4"/>
      <c r="J23" s="4"/>
      <c r="K23" s="4"/>
      <c r="L23" s="4"/>
      <c r="M23" s="4"/>
      <c r="N23" s="4"/>
      <c r="O23" s="4"/>
      <c r="P23" s="4"/>
      <c r="Q23" s="4"/>
      <c r="R23" s="4"/>
      <c r="S23" s="4"/>
      <c r="T23" s="4"/>
      <c r="U23" s="4"/>
      <c r="V23" s="4"/>
      <c r="W23" s="4"/>
      <c r="X23" s="4"/>
      <c r="Y23" s="4"/>
      <c r="Z23" s="4"/>
    </row>
    <row r="24" ht="30.0" customHeight="1">
      <c r="A24" s="7" t="s">
        <v>224</v>
      </c>
      <c r="B24" s="7" t="s">
        <v>225</v>
      </c>
      <c r="C24" s="4"/>
      <c r="D24" s="4"/>
      <c r="E24" s="4"/>
      <c r="F24" s="4"/>
      <c r="G24" s="4"/>
      <c r="H24" s="4"/>
      <c r="I24" s="4"/>
      <c r="J24" s="4"/>
      <c r="K24" s="4"/>
      <c r="L24" s="4"/>
      <c r="M24" s="4"/>
      <c r="N24" s="4"/>
      <c r="O24" s="4"/>
      <c r="P24" s="4"/>
      <c r="Q24" s="4"/>
      <c r="R24" s="4"/>
      <c r="S24" s="4"/>
      <c r="T24" s="4"/>
      <c r="U24" s="4"/>
      <c r="V24" s="4"/>
      <c r="W24" s="4"/>
      <c r="X24" s="4"/>
      <c r="Y24" s="4"/>
      <c r="Z24" s="4"/>
    </row>
    <row r="25" ht="33.0" customHeight="1">
      <c r="A25" s="7" t="s">
        <v>226</v>
      </c>
      <c r="B25" s="7" t="s">
        <v>227</v>
      </c>
      <c r="C25" s="4"/>
      <c r="D25" s="4"/>
      <c r="E25" s="4"/>
      <c r="F25" s="4"/>
      <c r="G25" s="4"/>
      <c r="H25" s="4"/>
      <c r="I25" s="4"/>
      <c r="J25" s="4"/>
      <c r="K25" s="4"/>
      <c r="L25" s="4"/>
      <c r="M25" s="4"/>
      <c r="N25" s="4"/>
      <c r="O25" s="4"/>
      <c r="P25" s="4"/>
      <c r="Q25" s="4"/>
      <c r="R25" s="4"/>
      <c r="S25" s="4"/>
      <c r="T25" s="4"/>
      <c r="U25" s="4"/>
      <c r="V25" s="4"/>
      <c r="W25" s="4"/>
      <c r="X25" s="4"/>
      <c r="Y25" s="4"/>
      <c r="Z25" s="4"/>
    </row>
    <row r="26" ht="73.5" customHeight="1">
      <c r="A26" s="7" t="s">
        <v>228</v>
      </c>
      <c r="B26" s="7" t="s">
        <v>229</v>
      </c>
      <c r="C26" s="4"/>
      <c r="D26" s="4"/>
      <c r="E26" s="4"/>
      <c r="F26" s="4"/>
      <c r="G26" s="4"/>
      <c r="H26" s="4"/>
      <c r="I26" s="4"/>
      <c r="J26" s="4"/>
      <c r="K26" s="4"/>
      <c r="L26" s="4"/>
      <c r="M26" s="4"/>
      <c r="N26" s="4"/>
      <c r="O26" s="4"/>
      <c r="P26" s="4"/>
      <c r="Q26" s="4"/>
      <c r="R26" s="4"/>
      <c r="S26" s="4"/>
      <c r="T26" s="4"/>
      <c r="U26" s="4"/>
      <c r="V26" s="4"/>
      <c r="W26" s="4"/>
      <c r="X26" s="4"/>
      <c r="Y26" s="4"/>
      <c r="Z26" s="4"/>
    </row>
    <row r="27" ht="15.0" customHeight="1">
      <c r="A27" s="1" t="s">
        <v>230</v>
      </c>
      <c r="B27" s="4"/>
      <c r="C27" s="4"/>
      <c r="D27" s="4"/>
      <c r="E27" s="4"/>
      <c r="F27" s="4"/>
      <c r="G27" s="4"/>
      <c r="H27" s="4"/>
      <c r="I27" s="4"/>
      <c r="J27" s="4"/>
      <c r="K27" s="4"/>
      <c r="L27" s="4"/>
      <c r="M27" s="4"/>
      <c r="N27" s="4"/>
      <c r="O27" s="4"/>
      <c r="P27" s="4"/>
      <c r="Q27" s="4"/>
      <c r="R27" s="4"/>
      <c r="S27" s="4"/>
      <c r="T27" s="4"/>
      <c r="U27" s="4"/>
      <c r="V27" s="4"/>
      <c r="W27" s="4"/>
      <c r="X27" s="4"/>
      <c r="Y27" s="4"/>
      <c r="Z27" s="4"/>
    </row>
    <row r="28" ht="100.5" customHeight="1">
      <c r="A28" s="7" t="s">
        <v>231</v>
      </c>
      <c r="B28" s="7" t="s">
        <v>232</v>
      </c>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6" width="14.0"/>
  </cols>
  <sheetData>
    <row r="1" ht="17.25" customHeight="1">
      <c r="A1" s="2" t="s">
        <v>233</v>
      </c>
      <c r="B1" s="4"/>
      <c r="C1" s="4"/>
      <c r="D1" s="4"/>
      <c r="E1" s="4"/>
      <c r="F1" s="4"/>
      <c r="G1" s="4"/>
      <c r="H1" s="4"/>
      <c r="I1" s="4"/>
      <c r="J1" s="4"/>
      <c r="K1" s="4"/>
      <c r="L1" s="4"/>
      <c r="M1" s="4"/>
      <c r="N1" s="4"/>
      <c r="O1" s="4"/>
      <c r="P1" s="4"/>
      <c r="Q1" s="4"/>
      <c r="R1" s="4"/>
      <c r="S1" s="4"/>
      <c r="T1" s="4"/>
      <c r="U1" s="4"/>
      <c r="V1" s="4"/>
      <c r="W1" s="4"/>
      <c r="X1" s="4"/>
      <c r="Y1" s="4"/>
      <c r="Z1" s="4"/>
    </row>
    <row r="2" ht="15.0" customHeight="1">
      <c r="A2" s="5" t="s">
        <v>234</v>
      </c>
      <c r="B2" s="4"/>
      <c r="C2" s="4"/>
      <c r="D2" s="4"/>
      <c r="E2" s="4"/>
      <c r="F2" s="4"/>
      <c r="G2" s="4"/>
      <c r="H2" s="4"/>
      <c r="I2" s="4"/>
      <c r="J2" s="4"/>
      <c r="K2" s="4"/>
      <c r="L2" s="4"/>
      <c r="M2" s="4"/>
      <c r="N2" s="4"/>
      <c r="O2" s="4"/>
      <c r="P2" s="4"/>
      <c r="Q2" s="4"/>
      <c r="R2" s="4"/>
      <c r="S2" s="4"/>
      <c r="T2" s="4"/>
      <c r="U2" s="4"/>
      <c r="V2" s="4"/>
      <c r="W2" s="4"/>
      <c r="X2" s="4"/>
      <c r="Y2" s="4"/>
      <c r="Z2" s="4"/>
    </row>
    <row r="3" ht="15.0" customHeight="1">
      <c r="A3" s="4"/>
      <c r="B3" s="4"/>
      <c r="C3" s="4"/>
      <c r="D3" s="4"/>
      <c r="E3" s="4"/>
      <c r="F3" s="4"/>
      <c r="G3" s="4"/>
      <c r="H3" s="4"/>
      <c r="I3" s="4"/>
      <c r="J3" s="4"/>
      <c r="K3" s="4"/>
      <c r="L3" s="4"/>
      <c r="M3" s="4"/>
      <c r="N3" s="4"/>
      <c r="O3" s="4"/>
      <c r="P3" s="4"/>
      <c r="Q3" s="4"/>
      <c r="R3" s="4"/>
      <c r="S3" s="4"/>
      <c r="T3" s="4"/>
      <c r="U3" s="4"/>
      <c r="V3" s="4"/>
      <c r="W3" s="4"/>
      <c r="X3" s="4"/>
      <c r="Y3" s="4"/>
      <c r="Z3" s="4"/>
    </row>
    <row r="4" ht="15.0" customHeight="1">
      <c r="A4" s="1" t="s">
        <v>235</v>
      </c>
      <c r="B4" s="4"/>
      <c r="C4" s="4"/>
      <c r="D4" s="4"/>
      <c r="E4" s="4"/>
      <c r="F4" s="4"/>
      <c r="G4" s="4"/>
      <c r="H4" s="4"/>
      <c r="I4" s="4"/>
      <c r="J4" s="4"/>
      <c r="K4" s="4"/>
      <c r="L4" s="4"/>
      <c r="M4" s="4"/>
      <c r="N4" s="4"/>
      <c r="O4" s="4"/>
      <c r="P4" s="4"/>
      <c r="Q4" s="4"/>
      <c r="R4" s="4"/>
      <c r="S4" s="4"/>
      <c r="T4" s="4"/>
      <c r="U4" s="4"/>
      <c r="V4" s="4"/>
      <c r="W4" s="4"/>
      <c r="X4" s="4"/>
      <c r="Y4" s="4"/>
      <c r="Z4" s="4"/>
    </row>
    <row r="5" ht="15.0" customHeight="1">
      <c r="A5" s="3" t="s">
        <v>236</v>
      </c>
      <c r="B5" s="3" t="s">
        <v>237</v>
      </c>
      <c r="C5" s="4"/>
      <c r="D5" s="4"/>
      <c r="E5" s="4"/>
      <c r="F5" s="4"/>
      <c r="G5" s="4"/>
      <c r="H5" s="4"/>
      <c r="I5" s="4"/>
      <c r="J5" s="4"/>
      <c r="K5" s="4"/>
      <c r="L5" s="4"/>
      <c r="M5" s="4"/>
      <c r="N5" s="4"/>
      <c r="O5" s="4"/>
      <c r="P5" s="4"/>
      <c r="Q5" s="4"/>
      <c r="R5" s="4"/>
      <c r="S5" s="4"/>
      <c r="T5" s="4"/>
      <c r="U5" s="4"/>
      <c r="V5" s="4"/>
      <c r="W5" s="4"/>
      <c r="X5" s="4"/>
      <c r="Y5" s="4"/>
      <c r="Z5" s="4"/>
    </row>
    <row r="6" ht="15.0" customHeight="1">
      <c r="A6" s="17" t="s">
        <v>238</v>
      </c>
      <c r="B6" s="17">
        <f>COUNTA(Admin!$A$2:$A$1000)</f>
        <v>44</v>
      </c>
      <c r="C6" s="4"/>
      <c r="D6" s="4"/>
      <c r="E6" s="4"/>
      <c r="F6" s="4"/>
      <c r="G6" s="4"/>
      <c r="H6" s="4"/>
      <c r="I6" s="4"/>
      <c r="J6" s="4"/>
      <c r="K6" s="4"/>
      <c r="L6" s="4"/>
      <c r="M6" s="4"/>
      <c r="N6" s="4"/>
      <c r="O6" s="4"/>
      <c r="P6" s="4"/>
      <c r="Q6" s="4"/>
      <c r="R6" s="4"/>
      <c r="S6" s="4"/>
      <c r="T6" s="4"/>
      <c r="U6" s="4"/>
      <c r="V6" s="4"/>
      <c r="W6" s="4"/>
      <c r="X6" s="4"/>
      <c r="Y6" s="4"/>
      <c r="Z6" s="4"/>
    </row>
    <row r="7" ht="15.0" customHeight="1">
      <c r="A7" s="17" t="s">
        <v>239</v>
      </c>
      <c r="B7" s="17">
        <f>COUNTA(Teacher!$A$2:$A$1000)</f>
        <v>33</v>
      </c>
      <c r="C7" s="4"/>
      <c r="D7" s="4"/>
      <c r="E7" s="4"/>
      <c r="F7" s="4"/>
      <c r="G7" s="4"/>
      <c r="H7" s="4"/>
      <c r="I7" s="4"/>
      <c r="J7" s="4"/>
      <c r="K7" s="4"/>
      <c r="L7" s="4"/>
      <c r="M7" s="4"/>
      <c r="N7" s="4"/>
      <c r="O7" s="4"/>
      <c r="P7" s="4"/>
      <c r="Q7" s="4"/>
      <c r="R7" s="4"/>
      <c r="S7" s="4"/>
      <c r="T7" s="4"/>
      <c r="U7" s="4"/>
      <c r="V7" s="4"/>
      <c r="W7" s="4"/>
      <c r="X7" s="4"/>
      <c r="Y7" s="4"/>
      <c r="Z7" s="4"/>
    </row>
    <row r="8" ht="15.0" customHeight="1">
      <c r="A8" s="17" t="s">
        <v>240</v>
      </c>
      <c r="B8" s="17">
        <f>COUNTA(Student!$A$2:$A$1000)</f>
        <v>80</v>
      </c>
      <c r="C8" s="4"/>
      <c r="D8" s="4"/>
      <c r="E8" s="4"/>
      <c r="F8" s="4"/>
      <c r="G8" s="4"/>
      <c r="H8" s="4"/>
      <c r="I8" s="4"/>
      <c r="J8" s="4"/>
      <c r="K8" s="4"/>
      <c r="L8" s="4"/>
      <c r="M8" s="4"/>
      <c r="N8" s="4"/>
      <c r="O8" s="4"/>
      <c r="P8" s="4"/>
      <c r="Q8" s="4"/>
      <c r="R8" s="4"/>
      <c r="S8" s="4"/>
      <c r="T8" s="4"/>
      <c r="U8" s="4"/>
      <c r="V8" s="4"/>
      <c r="W8" s="4"/>
      <c r="X8" s="4"/>
      <c r="Y8" s="4"/>
      <c r="Z8" s="4"/>
    </row>
    <row r="9" ht="15.0" customHeight="1">
      <c r="A9" s="17" t="s">
        <v>189</v>
      </c>
      <c r="B9" s="17">
        <f>COUNTA(Mobile!$A$2:$A$1000)</f>
        <v>16</v>
      </c>
      <c r="C9" s="4"/>
      <c r="D9" s="4"/>
      <c r="E9" s="4"/>
      <c r="F9" s="4"/>
      <c r="G9" s="4"/>
      <c r="H9" s="4"/>
      <c r="I9" s="4"/>
      <c r="J9" s="4"/>
      <c r="K9" s="4"/>
      <c r="L9" s="4"/>
      <c r="M9" s="4"/>
      <c r="N9" s="4"/>
      <c r="O9" s="4"/>
      <c r="P9" s="4"/>
      <c r="Q9" s="4"/>
      <c r="R9" s="4"/>
      <c r="S9" s="4"/>
      <c r="T9" s="4"/>
      <c r="U9" s="4"/>
      <c r="V9" s="4"/>
      <c r="W9" s="4"/>
      <c r="X9" s="4"/>
      <c r="Y9" s="4"/>
      <c r="Z9" s="4"/>
    </row>
    <row r="10" ht="15.0"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5.0" customHeight="1">
      <c r="A11" s="1" t="s">
        <v>241</v>
      </c>
      <c r="B11" s="4"/>
      <c r="C11" s="4"/>
      <c r="D11" s="4"/>
      <c r="E11" s="4"/>
      <c r="F11" s="4"/>
      <c r="G11" s="4"/>
      <c r="H11" s="4"/>
      <c r="I11" s="4"/>
      <c r="J11" s="4"/>
      <c r="K11" s="4"/>
      <c r="L11" s="4"/>
      <c r="M11" s="4"/>
      <c r="N11" s="4"/>
      <c r="O11" s="4"/>
      <c r="P11" s="4"/>
      <c r="Q11" s="4"/>
      <c r="R11" s="4"/>
      <c r="S11" s="4"/>
      <c r="T11" s="4"/>
      <c r="U11" s="4"/>
      <c r="V11" s="4"/>
      <c r="W11" s="4"/>
      <c r="X11" s="4"/>
      <c r="Y11" s="4"/>
      <c r="Z11" s="4"/>
    </row>
    <row r="12" ht="15.0" customHeight="1">
      <c r="A12" s="3" t="s">
        <v>242</v>
      </c>
      <c r="B12" s="3" t="s">
        <v>237</v>
      </c>
      <c r="C12" s="4"/>
      <c r="D12" s="4"/>
      <c r="E12" s="4"/>
      <c r="F12" s="4"/>
      <c r="G12" s="4"/>
      <c r="H12" s="4"/>
      <c r="I12" s="4"/>
      <c r="J12" s="4"/>
      <c r="K12" s="4"/>
      <c r="L12" s="4"/>
      <c r="M12" s="4"/>
      <c r="N12" s="4"/>
      <c r="O12" s="4"/>
      <c r="P12" s="4"/>
      <c r="Q12" s="4"/>
      <c r="R12" s="4"/>
      <c r="S12" s="4"/>
      <c r="T12" s="4"/>
      <c r="U12" s="4"/>
      <c r="V12" s="4"/>
      <c r="W12" s="4"/>
      <c r="X12" s="4"/>
      <c r="Y12" s="4"/>
      <c r="Z12" s="4"/>
    </row>
    <row r="13" ht="15.0" customHeight="1">
      <c r="A13" s="17" t="s">
        <v>243</v>
      </c>
      <c r="B13" s="17">
        <f>COUNTIF(Admin!$M$2:$M$1000,"Smoke")+COUNTIF(Teacher!$M$2:$M$1000,"Smoke")+COUNTIF(Student!$M$2:$M$1000,"Smoke")+COUNTIF(Mobile!$M$2:$M$1000,"Smoke")</f>
        <v>67</v>
      </c>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17" t="s">
        <v>244</v>
      </c>
      <c r="B14" s="17">
        <f>COUNTIF(Admin!$M$2:$M$1000,"Regression")+COUNTIF(Teacher!$M$2:$M$1000,"Regression")+COUNTIF(Student!$M$2:$M$1000,"Regression")+COUNTIF(Mobile!$M$2:$M$1000,"Regression")</f>
        <v>106</v>
      </c>
      <c r="C14" s="4"/>
      <c r="D14" s="4"/>
      <c r="E14" s="4"/>
      <c r="F14" s="4"/>
      <c r="G14" s="4"/>
      <c r="H14" s="4"/>
      <c r="I14" s="4"/>
      <c r="J14" s="4"/>
      <c r="K14" s="4"/>
      <c r="L14" s="4"/>
      <c r="M14" s="4"/>
      <c r="N14" s="4"/>
      <c r="O14" s="4"/>
      <c r="P14" s="4"/>
      <c r="Q14" s="4"/>
      <c r="R14" s="4"/>
      <c r="S14" s="4"/>
      <c r="T14" s="4"/>
      <c r="U14" s="4"/>
      <c r="V14" s="4"/>
      <c r="W14" s="4"/>
      <c r="X14" s="4"/>
      <c r="Y14" s="4"/>
      <c r="Z14" s="4"/>
    </row>
    <row r="15" ht="15.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1" t="s">
        <v>245</v>
      </c>
      <c r="B16" s="4"/>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3" t="s">
        <v>246</v>
      </c>
      <c r="B17" s="3" t="s">
        <v>237</v>
      </c>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17" t="s">
        <v>247</v>
      </c>
      <c r="B18" s="17">
        <f>COUNTIF(Admin!$N$2:$N$1000,"Automation")+COUNTIF(Teacher!$N$2:$N$1000,"Automation")+COUNTIF(Student!$N$2:$N$1000,"Automation")+COUNTIF(Mobile!$N$2:$N$1000,"Automation")</f>
        <v>158</v>
      </c>
      <c r="C18" s="4"/>
      <c r="D18" s="4"/>
      <c r="E18" s="4"/>
      <c r="F18" s="4"/>
      <c r="G18" s="4"/>
      <c r="H18" s="4"/>
      <c r="I18" s="4"/>
      <c r="J18" s="4"/>
      <c r="K18" s="4"/>
      <c r="L18" s="4"/>
      <c r="M18" s="4"/>
      <c r="N18" s="4"/>
      <c r="O18" s="4"/>
      <c r="P18" s="4"/>
      <c r="Q18" s="4"/>
      <c r="R18" s="4"/>
      <c r="S18" s="4"/>
      <c r="T18" s="4"/>
      <c r="U18" s="4"/>
      <c r="V18" s="4"/>
      <c r="W18" s="4"/>
      <c r="X18" s="4"/>
      <c r="Y18" s="4"/>
      <c r="Z18" s="4"/>
    </row>
    <row r="19" ht="15.0" customHeight="1">
      <c r="A19" s="17" t="s">
        <v>248</v>
      </c>
      <c r="B19" s="17">
        <f>COUNTIF(Admin!$N$2:$N$1000,"Manual")+COUNTIF(Teacher!$N$2:$N$1000,"Manual")+COUNTIF(Student!$N$2:$N$1000,"Manual")+COUNTIF(Mobile!$N$2:$N$1000,"Manual")</f>
        <v>15</v>
      </c>
      <c r="C19" s="4"/>
      <c r="D19" s="4"/>
      <c r="E19" s="4"/>
      <c r="F19" s="4"/>
      <c r="G19" s="4"/>
      <c r="H19" s="4"/>
      <c r="I19" s="4"/>
      <c r="J19" s="4"/>
      <c r="K19" s="4"/>
      <c r="L19" s="4"/>
      <c r="M19" s="4"/>
      <c r="N19" s="4"/>
      <c r="O19" s="4"/>
      <c r="P19" s="4"/>
      <c r="Q19" s="4"/>
      <c r="R19" s="4"/>
      <c r="S19" s="4"/>
      <c r="T19" s="4"/>
      <c r="U19" s="4"/>
      <c r="V19" s="4"/>
      <c r="W19" s="4"/>
      <c r="X19" s="4"/>
      <c r="Y19" s="4"/>
      <c r="Z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0" customHeight="1">
      <c r="A21" s="1" t="s">
        <v>249</v>
      </c>
      <c r="B21" s="4"/>
      <c r="C21" s="4"/>
      <c r="D21" s="4"/>
      <c r="E21" s="4"/>
      <c r="F21" s="4"/>
      <c r="G21" s="4"/>
      <c r="H21" s="4"/>
      <c r="I21" s="4"/>
      <c r="J21" s="4"/>
      <c r="K21" s="4"/>
      <c r="L21" s="4"/>
      <c r="M21" s="4"/>
      <c r="N21" s="4"/>
      <c r="O21" s="4"/>
      <c r="P21" s="4"/>
      <c r="Q21" s="4"/>
      <c r="R21" s="4"/>
      <c r="S21" s="4"/>
      <c r="T21" s="4"/>
      <c r="U21" s="4"/>
      <c r="V21" s="4"/>
      <c r="W21" s="4"/>
      <c r="X21" s="4"/>
      <c r="Y21" s="4"/>
      <c r="Z21" s="4"/>
    </row>
    <row r="22" ht="15.0" customHeight="1">
      <c r="A22" s="3" t="s">
        <v>250</v>
      </c>
      <c r="B22" s="3" t="s">
        <v>237</v>
      </c>
      <c r="C22" s="4"/>
      <c r="D22" s="4"/>
      <c r="E22" s="4"/>
      <c r="F22" s="4"/>
      <c r="G22" s="4"/>
      <c r="H22" s="4"/>
      <c r="I22" s="4"/>
      <c r="J22" s="4"/>
      <c r="K22" s="4"/>
      <c r="L22" s="4"/>
      <c r="M22" s="4"/>
      <c r="N22" s="4"/>
      <c r="O22" s="4"/>
      <c r="P22" s="4"/>
      <c r="Q22" s="4"/>
      <c r="R22" s="4"/>
      <c r="S22" s="4"/>
      <c r="T22" s="4"/>
      <c r="U22" s="4"/>
      <c r="V22" s="4"/>
      <c r="W22" s="4"/>
      <c r="X22" s="4"/>
      <c r="Y22" s="4"/>
      <c r="Z22" s="4"/>
    </row>
    <row r="23" ht="15.0" customHeight="1">
      <c r="A23" s="17" t="s">
        <v>251</v>
      </c>
      <c r="B23" s="17">
        <f>COUNTIF(Admin!$F$2:$F$1000,"High")+COUNTIF(Teacher!$F$2:$F$1000,"High")+COUNTIF(Student!$F$2:$F$1000,"High")+COUNTIF(Mobile!$F$2:$F$1000,"High")</f>
        <v>45</v>
      </c>
      <c r="C23" s="4"/>
      <c r="D23" s="4"/>
      <c r="E23" s="4"/>
      <c r="F23" s="4"/>
      <c r="G23" s="4"/>
      <c r="H23" s="4"/>
      <c r="I23" s="4"/>
      <c r="J23" s="4"/>
      <c r="K23" s="4"/>
      <c r="L23" s="4"/>
      <c r="M23" s="4"/>
      <c r="N23" s="4"/>
      <c r="O23" s="4"/>
      <c r="P23" s="4"/>
      <c r="Q23" s="4"/>
      <c r="R23" s="4"/>
      <c r="S23" s="4"/>
      <c r="T23" s="4"/>
      <c r="U23" s="4"/>
      <c r="V23" s="4"/>
      <c r="W23" s="4"/>
      <c r="X23" s="4"/>
      <c r="Y23" s="4"/>
      <c r="Z23" s="4"/>
    </row>
    <row r="24" ht="15.0" customHeight="1">
      <c r="A24" s="17" t="s">
        <v>252</v>
      </c>
      <c r="B24" s="17">
        <f>COUNTIF(Admin!$F$2:$F$1000,"Medium")+COUNTIF(Teacher!$F$2:$F$1000,"Medium")+COUNTIF(Student!$F$2:$F$1000,"Medium")+COUNTIF(Mobile!$F$2:$F$1000,"Medium")</f>
        <v>84</v>
      </c>
      <c r="C24" s="4"/>
      <c r="D24" s="4"/>
      <c r="E24" s="4"/>
      <c r="F24" s="4"/>
      <c r="G24" s="4"/>
      <c r="H24" s="4"/>
      <c r="I24" s="4"/>
      <c r="J24" s="4"/>
      <c r="K24" s="4"/>
      <c r="L24" s="4"/>
      <c r="M24" s="4"/>
      <c r="N24" s="4"/>
      <c r="O24" s="4"/>
      <c r="P24" s="4"/>
      <c r="Q24" s="4"/>
      <c r="R24" s="4"/>
      <c r="S24" s="4"/>
      <c r="T24" s="4"/>
      <c r="U24" s="4"/>
      <c r="V24" s="4"/>
      <c r="W24" s="4"/>
      <c r="X24" s="4"/>
      <c r="Y24" s="4"/>
      <c r="Z24" s="4"/>
    </row>
    <row r="25" ht="15.0" customHeight="1">
      <c r="A25" s="17" t="s">
        <v>253</v>
      </c>
      <c r="B25" s="17">
        <f>COUNTIF(Admin!$F$2:$F$1000,"Low")+COUNTIF(Teacher!$F$2:$F$1000,"Low")+COUNTIF(Student!$F$2:$F$1000,"Low")+COUNTIF(Mobile!$F$2:$F$1000,"Low")</f>
        <v>44</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0" customHeight="1">
      <c r="A27" s="1" t="s">
        <v>254</v>
      </c>
      <c r="B27" s="4"/>
      <c r="C27" s="4"/>
      <c r="D27" s="4"/>
      <c r="E27" s="4"/>
      <c r="F27" s="4"/>
      <c r="G27" s="4"/>
      <c r="H27" s="4"/>
      <c r="I27" s="4"/>
      <c r="J27" s="4"/>
      <c r="K27" s="4"/>
      <c r="L27" s="4"/>
      <c r="M27" s="4"/>
      <c r="N27" s="4"/>
      <c r="O27" s="4"/>
      <c r="P27" s="4"/>
      <c r="Q27" s="4"/>
      <c r="R27" s="4"/>
      <c r="S27" s="4"/>
      <c r="T27" s="4"/>
      <c r="U27" s="4"/>
      <c r="V27" s="4"/>
      <c r="W27" s="4"/>
      <c r="X27" s="4"/>
      <c r="Y27" s="4"/>
      <c r="Z27" s="4"/>
    </row>
    <row r="28" ht="15.0" customHeight="1">
      <c r="A28" s="3" t="s">
        <v>255</v>
      </c>
      <c r="B28" s="3" t="s">
        <v>237</v>
      </c>
      <c r="C28" s="4"/>
      <c r="D28" s="4"/>
      <c r="E28" s="4"/>
      <c r="F28" s="4"/>
      <c r="G28" s="4"/>
      <c r="H28" s="4"/>
      <c r="I28" s="4"/>
      <c r="J28" s="4"/>
      <c r="K28" s="4"/>
      <c r="L28" s="4"/>
      <c r="M28" s="4"/>
      <c r="N28" s="4"/>
      <c r="O28" s="4"/>
      <c r="P28" s="4"/>
      <c r="Q28" s="4"/>
      <c r="R28" s="4"/>
      <c r="S28" s="4"/>
      <c r="T28" s="4"/>
      <c r="U28" s="4"/>
      <c r="V28" s="4"/>
      <c r="W28" s="4"/>
      <c r="X28" s="4"/>
      <c r="Y28" s="4"/>
      <c r="Z28" s="4"/>
    </row>
    <row r="29" ht="15.0" customHeight="1">
      <c r="A29" s="17" t="s">
        <v>256</v>
      </c>
      <c r="B29" s="17">
        <f>COUNTIF(Admin!$O$2:$O$1000,"Not Executed")+COUNTIF(Teacher!$O$2:$O$1000,"Not Executed")+COUNTIF(Student!$O$2:$O$1000,"Not Executed")+COUNTIF(Mobile!$O$2:$O$1000,"Not Executed")</f>
        <v>95</v>
      </c>
      <c r="C29" s="4"/>
      <c r="D29" s="4"/>
      <c r="E29" s="4"/>
      <c r="F29" s="4"/>
      <c r="G29" s="4"/>
      <c r="H29" s="4"/>
      <c r="I29" s="4"/>
      <c r="J29" s="4"/>
      <c r="K29" s="4"/>
      <c r="L29" s="4"/>
      <c r="M29" s="4"/>
      <c r="N29" s="4"/>
      <c r="O29" s="4"/>
      <c r="P29" s="4"/>
      <c r="Q29" s="4"/>
      <c r="R29" s="4"/>
      <c r="S29" s="4"/>
      <c r="T29" s="4"/>
      <c r="U29" s="4"/>
      <c r="V29" s="4"/>
      <c r="W29" s="4"/>
      <c r="X29" s="4"/>
      <c r="Y29" s="4"/>
      <c r="Z29" s="4"/>
    </row>
    <row r="30" ht="15.0" customHeight="1">
      <c r="A30" s="17" t="s">
        <v>257</v>
      </c>
      <c r="B30" s="17">
        <f>COUNTIF(Admin!$O$2:$O$1000,"Passed")+COUNTIF(Teacher!$O$2:$O$1000,"Passed")+COUNTIF(Student!$O$2:$O$1000,"Passed")+COUNTIF(Mobile!$O$2:$O$1000,"Passed")</f>
        <v>51</v>
      </c>
      <c r="C30" s="4"/>
      <c r="D30" s="4"/>
      <c r="E30" s="4"/>
      <c r="F30" s="4"/>
      <c r="G30" s="4"/>
      <c r="H30" s="4"/>
      <c r="I30" s="4"/>
      <c r="J30" s="4"/>
      <c r="K30" s="4"/>
      <c r="L30" s="4"/>
      <c r="M30" s="4"/>
      <c r="N30" s="4"/>
      <c r="O30" s="4"/>
      <c r="P30" s="4"/>
      <c r="Q30" s="4"/>
      <c r="R30" s="4"/>
      <c r="S30" s="4"/>
      <c r="T30" s="4"/>
      <c r="U30" s="4"/>
      <c r="V30" s="4"/>
      <c r="W30" s="4"/>
      <c r="X30" s="4"/>
      <c r="Y30" s="4"/>
      <c r="Z30" s="4"/>
    </row>
    <row r="31" ht="15.0" customHeight="1">
      <c r="A31" s="17" t="s">
        <v>258</v>
      </c>
      <c r="B31" s="17">
        <f>COUNTIF(Admin!$O$2:$O$1000,"Failed")+COUNTIF(Teacher!$O$2:$O$1000,"Failed")+COUNTIF(Student!$O$2:$O$1000,"Failed")+COUNTIF(Mobile!$O$2:$O$1000,"Failed")</f>
        <v>7</v>
      </c>
      <c r="C31" s="4"/>
      <c r="D31" s="4"/>
      <c r="E31" s="4"/>
      <c r="F31" s="4"/>
      <c r="G31" s="4"/>
      <c r="H31" s="4"/>
      <c r="I31" s="4"/>
      <c r="J31" s="4"/>
      <c r="K31" s="4"/>
      <c r="L31" s="4"/>
      <c r="M31" s="4"/>
      <c r="N31" s="4"/>
      <c r="O31" s="4"/>
      <c r="P31" s="4"/>
      <c r="Q31" s="4"/>
      <c r="R31" s="4"/>
      <c r="S31" s="4"/>
      <c r="T31" s="4"/>
      <c r="U31" s="4"/>
      <c r="V31" s="4"/>
      <c r="W31" s="4"/>
      <c r="X31" s="4"/>
      <c r="Y31" s="4"/>
      <c r="Z31" s="4"/>
    </row>
    <row r="32" ht="15.0" customHeight="1">
      <c r="A32" s="17" t="s">
        <v>259</v>
      </c>
      <c r="B32" s="17">
        <f>COUNTIF(Admin!$O$2:$O$1000,"Blocked")+COUNTIF(Teacher!$O$2:$O$1000,"Blocked")+COUNTIF(Student!$O$2:$O$1000,"Blocked")+COUNTIF(Mobile!$O$2:$O$1000,"Blocked")</f>
        <v>20</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0" customHeight="1">
      <c r="A34" s="1" t="s">
        <v>260</v>
      </c>
      <c r="B34" s="4"/>
      <c r="C34" s="4"/>
      <c r="D34" s="4"/>
      <c r="E34" s="4"/>
      <c r="F34" s="4"/>
      <c r="G34" s="4"/>
      <c r="H34" s="4"/>
      <c r="I34" s="4"/>
      <c r="J34" s="4"/>
      <c r="K34" s="4"/>
      <c r="L34" s="4"/>
      <c r="M34" s="4"/>
      <c r="N34" s="4"/>
      <c r="O34" s="4"/>
      <c r="P34" s="4"/>
      <c r="Q34" s="4"/>
      <c r="R34" s="4"/>
      <c r="S34" s="4"/>
      <c r="T34" s="4"/>
      <c r="U34" s="4"/>
      <c r="V34" s="4"/>
      <c r="W34" s="4"/>
      <c r="X34" s="4"/>
      <c r="Y34" s="4"/>
      <c r="Z34" s="4"/>
    </row>
    <row r="35" ht="15.0" customHeight="1">
      <c r="A35" s="17" t="s">
        <v>261</v>
      </c>
      <c r="B35" s="17">
        <f>SUM(B6:B9)</f>
        <v>173</v>
      </c>
      <c r="C35" s="4"/>
      <c r="D35" s="4"/>
      <c r="E35" s="4"/>
      <c r="F35" s="4"/>
      <c r="G35" s="4"/>
      <c r="H35" s="4"/>
      <c r="I35" s="4"/>
      <c r="J35" s="4"/>
      <c r="K35" s="4"/>
      <c r="L35" s="4"/>
      <c r="M35" s="4"/>
      <c r="N35" s="4"/>
      <c r="O35" s="4"/>
      <c r="P35" s="4"/>
      <c r="Q35" s="4"/>
      <c r="R35" s="4"/>
      <c r="S35" s="4"/>
      <c r="T35" s="4"/>
      <c r="U35" s="4"/>
      <c r="V35" s="4"/>
      <c r="W35" s="4"/>
      <c r="X35" s="4"/>
      <c r="Y35" s="4"/>
      <c r="Z35" s="4"/>
    </row>
    <row r="36" ht="15.0" customHeight="1">
      <c r="A36" s="17" t="s">
        <v>262</v>
      </c>
      <c r="B36" s="17">
        <f>B30+B31+B32</f>
        <v>78</v>
      </c>
      <c r="C36" s="4"/>
      <c r="D36" s="4"/>
      <c r="E36" s="4"/>
      <c r="F36" s="4"/>
      <c r="G36" s="4"/>
      <c r="H36" s="4"/>
      <c r="I36" s="4"/>
      <c r="J36" s="4"/>
      <c r="K36" s="4"/>
      <c r="L36" s="4"/>
      <c r="M36" s="4"/>
      <c r="N36" s="4"/>
      <c r="O36" s="4"/>
      <c r="P36" s="4"/>
      <c r="Q36" s="4"/>
      <c r="R36" s="4"/>
      <c r="S36" s="4"/>
      <c r="T36" s="4"/>
      <c r="U36" s="4"/>
      <c r="V36" s="4"/>
      <c r="W36" s="4"/>
      <c r="X36" s="4"/>
      <c r="Y36" s="4"/>
      <c r="Z36" s="4"/>
    </row>
    <row r="37" ht="15.0" customHeight="1">
      <c r="A37" s="17" t="s">
        <v>263</v>
      </c>
      <c r="B37" s="17">
        <f>IF((B30+B31+B32)=0,"N/A - nothing executed yet",B30/(B30+B31+B32))</f>
        <v>0.6538461538</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0.0"/>
    <col customWidth="1" min="8" max="8" width="32.0"/>
    <col customWidth="1" min="9" max="9" width="34.0"/>
    <col customWidth="1" min="10" max="10" width="55.0"/>
    <col customWidth="1" min="11" max="11" width="45.0"/>
    <col customWidth="1" min="12" max="12" width="30.0"/>
    <col customWidth="1" min="13" max="13" width="12.0"/>
    <col customWidth="1" min="14" max="14" width="13.0"/>
    <col customWidth="1" min="15" max="15" width="14.0"/>
  </cols>
  <sheetData>
    <row r="1" ht="19.5" customHeight="1">
      <c r="A1" s="18" t="s">
        <v>264</v>
      </c>
      <c r="B1" s="18" t="s">
        <v>265</v>
      </c>
      <c r="C1" s="19" t="s">
        <v>266</v>
      </c>
      <c r="D1" s="18" t="s">
        <v>236</v>
      </c>
      <c r="E1" s="18" t="s">
        <v>267</v>
      </c>
      <c r="F1" s="18" t="s">
        <v>250</v>
      </c>
      <c r="G1" s="18" t="s">
        <v>268</v>
      </c>
      <c r="H1" s="18" t="s">
        <v>269</v>
      </c>
      <c r="I1" s="18" t="s">
        <v>270</v>
      </c>
      <c r="J1" s="18" t="s">
        <v>271</v>
      </c>
      <c r="K1" s="18" t="s">
        <v>272</v>
      </c>
      <c r="L1" s="18" t="s">
        <v>273</v>
      </c>
      <c r="M1" s="18" t="s">
        <v>242</v>
      </c>
      <c r="N1" s="18" t="s">
        <v>246</v>
      </c>
      <c r="O1" s="18" t="s">
        <v>255</v>
      </c>
      <c r="P1" s="4"/>
      <c r="Q1" s="4"/>
      <c r="R1" s="4"/>
      <c r="S1" s="4"/>
      <c r="T1" s="4"/>
      <c r="U1" s="4"/>
      <c r="V1" s="4"/>
      <c r="W1" s="4"/>
      <c r="X1" s="4"/>
      <c r="Y1" s="4"/>
      <c r="Z1" s="4"/>
    </row>
    <row r="2" ht="53.25" customHeight="1">
      <c r="A2" s="6" t="s">
        <v>274</v>
      </c>
      <c r="B2" s="6" t="s">
        <v>275</v>
      </c>
      <c r="C2" s="6" t="s">
        <v>276</v>
      </c>
      <c r="D2" s="6" t="s">
        <v>238</v>
      </c>
      <c r="E2" s="6" t="s">
        <v>277</v>
      </c>
      <c r="F2" s="6" t="s">
        <v>251</v>
      </c>
      <c r="G2" s="6" t="s">
        <v>278</v>
      </c>
      <c r="H2" s="6" t="s">
        <v>279</v>
      </c>
      <c r="I2" s="6" t="s">
        <v>14</v>
      </c>
      <c r="J2" s="6" t="s">
        <v>280</v>
      </c>
      <c r="K2" s="6" t="s">
        <v>281</v>
      </c>
      <c r="L2" s="6" t="s">
        <v>282</v>
      </c>
      <c r="M2" s="20" t="s">
        <v>243</v>
      </c>
      <c r="N2" s="21" t="s">
        <v>247</v>
      </c>
      <c r="O2" s="22" t="s">
        <v>256</v>
      </c>
      <c r="P2" s="4"/>
      <c r="Q2" s="4"/>
      <c r="R2" s="4"/>
      <c r="S2" s="4"/>
      <c r="T2" s="4"/>
      <c r="U2" s="4"/>
      <c r="V2" s="4"/>
      <c r="W2" s="4"/>
      <c r="X2" s="4"/>
      <c r="Y2" s="4"/>
      <c r="Z2" s="4"/>
    </row>
    <row r="3" ht="40.5" customHeight="1">
      <c r="A3" s="6" t="s">
        <v>283</v>
      </c>
      <c r="B3" s="6" t="s">
        <v>284</v>
      </c>
      <c r="C3" s="6" t="s">
        <v>285</v>
      </c>
      <c r="D3" s="6" t="s">
        <v>238</v>
      </c>
      <c r="E3" s="6" t="s">
        <v>277</v>
      </c>
      <c r="F3" s="6" t="s">
        <v>252</v>
      </c>
      <c r="G3" s="6" t="s">
        <v>286</v>
      </c>
      <c r="H3" s="6" t="s">
        <v>287</v>
      </c>
      <c r="I3" s="6" t="s">
        <v>14</v>
      </c>
      <c r="J3" s="6" t="s">
        <v>288</v>
      </c>
      <c r="K3" s="6" t="s">
        <v>289</v>
      </c>
      <c r="L3" s="6" t="s">
        <v>290</v>
      </c>
      <c r="M3" s="8" t="s">
        <v>244</v>
      </c>
      <c r="N3" s="21" t="s">
        <v>247</v>
      </c>
      <c r="O3" s="22" t="s">
        <v>256</v>
      </c>
      <c r="P3" s="4"/>
      <c r="Q3" s="4"/>
      <c r="R3" s="4"/>
      <c r="S3" s="4"/>
      <c r="T3" s="4"/>
      <c r="U3" s="4"/>
      <c r="V3" s="4"/>
      <c r="W3" s="4"/>
      <c r="X3" s="4"/>
      <c r="Y3" s="4"/>
      <c r="Z3" s="4"/>
    </row>
    <row r="4" ht="60.0" customHeight="1">
      <c r="A4" s="6" t="s">
        <v>291</v>
      </c>
      <c r="B4" s="6" t="s">
        <v>292</v>
      </c>
      <c r="C4" s="6" t="s">
        <v>293</v>
      </c>
      <c r="D4" s="6" t="s">
        <v>238</v>
      </c>
      <c r="E4" s="6" t="s">
        <v>277</v>
      </c>
      <c r="F4" s="6" t="s">
        <v>252</v>
      </c>
      <c r="G4" s="6" t="s">
        <v>294</v>
      </c>
      <c r="H4" s="6" t="s">
        <v>45</v>
      </c>
      <c r="I4" s="6" t="s">
        <v>22</v>
      </c>
      <c r="J4" s="6" t="s">
        <v>295</v>
      </c>
      <c r="K4" s="6" t="s">
        <v>296</v>
      </c>
      <c r="L4" s="6" t="s">
        <v>297</v>
      </c>
      <c r="M4" s="20" t="s">
        <v>243</v>
      </c>
      <c r="N4" s="21" t="s">
        <v>247</v>
      </c>
      <c r="O4" s="22" t="s">
        <v>256</v>
      </c>
      <c r="P4" s="4"/>
      <c r="Q4" s="4"/>
      <c r="R4" s="4"/>
      <c r="S4" s="4"/>
      <c r="T4" s="4"/>
      <c r="U4" s="4"/>
      <c r="V4" s="4"/>
      <c r="W4" s="4"/>
      <c r="X4" s="4"/>
      <c r="Y4" s="4"/>
      <c r="Z4" s="4"/>
    </row>
    <row r="5" ht="69.0" customHeight="1">
      <c r="A5" s="6" t="s">
        <v>298</v>
      </c>
      <c r="B5" s="6" t="s">
        <v>299</v>
      </c>
      <c r="C5" s="6" t="s">
        <v>300</v>
      </c>
      <c r="D5" s="6" t="s">
        <v>238</v>
      </c>
      <c r="E5" s="6" t="s">
        <v>301</v>
      </c>
      <c r="F5" s="6" t="s">
        <v>252</v>
      </c>
      <c r="G5" s="6" t="s">
        <v>302</v>
      </c>
      <c r="H5" s="6" t="s">
        <v>45</v>
      </c>
      <c r="I5" s="6" t="s">
        <v>303</v>
      </c>
      <c r="J5" s="6" t="s">
        <v>304</v>
      </c>
      <c r="K5" s="6" t="s">
        <v>305</v>
      </c>
      <c r="L5" s="6" t="s">
        <v>306</v>
      </c>
      <c r="M5" s="8" t="s">
        <v>244</v>
      </c>
      <c r="N5" s="21" t="s">
        <v>247</v>
      </c>
      <c r="O5" s="22" t="s">
        <v>256</v>
      </c>
      <c r="P5" s="4"/>
      <c r="Q5" s="4"/>
      <c r="R5" s="4"/>
      <c r="S5" s="4"/>
      <c r="T5" s="4"/>
      <c r="U5" s="4"/>
      <c r="V5" s="4"/>
      <c r="W5" s="4"/>
      <c r="X5" s="4"/>
      <c r="Y5" s="4"/>
      <c r="Z5" s="4"/>
    </row>
    <row r="6" ht="117.0" customHeight="1">
      <c r="A6" s="6" t="s">
        <v>307</v>
      </c>
      <c r="B6" s="6" t="s">
        <v>308</v>
      </c>
      <c r="C6" s="6" t="s">
        <v>309</v>
      </c>
      <c r="D6" s="6" t="s">
        <v>238</v>
      </c>
      <c r="E6" s="6" t="s">
        <v>310</v>
      </c>
      <c r="F6" s="6" t="s">
        <v>251</v>
      </c>
      <c r="G6" s="6" t="s">
        <v>311</v>
      </c>
      <c r="H6" s="6" t="s">
        <v>45</v>
      </c>
      <c r="I6" s="6" t="s">
        <v>33</v>
      </c>
      <c r="J6" s="6" t="s">
        <v>312</v>
      </c>
      <c r="K6" s="6" t="s">
        <v>313</v>
      </c>
      <c r="L6" s="6" t="s">
        <v>45</v>
      </c>
      <c r="M6" s="20" t="s">
        <v>243</v>
      </c>
      <c r="N6" s="21" t="s">
        <v>247</v>
      </c>
      <c r="O6" s="22" t="s">
        <v>256</v>
      </c>
      <c r="P6" s="4"/>
      <c r="Q6" s="4"/>
      <c r="R6" s="4"/>
      <c r="S6" s="4"/>
      <c r="T6" s="4"/>
      <c r="U6" s="4"/>
      <c r="V6" s="4"/>
      <c r="W6" s="4"/>
      <c r="X6" s="4"/>
      <c r="Y6" s="4"/>
      <c r="Z6" s="4"/>
    </row>
    <row r="7" ht="87.0" customHeight="1">
      <c r="A7" s="6" t="s">
        <v>314</v>
      </c>
      <c r="B7" s="6" t="s">
        <v>315</v>
      </c>
      <c r="C7" s="6" t="s">
        <v>316</v>
      </c>
      <c r="D7" s="6" t="s">
        <v>238</v>
      </c>
      <c r="E7" s="6" t="s">
        <v>317</v>
      </c>
      <c r="F7" s="6" t="s">
        <v>252</v>
      </c>
      <c r="G7" s="6" t="s">
        <v>318</v>
      </c>
      <c r="H7" s="6" t="s">
        <v>319</v>
      </c>
      <c r="I7" s="6" t="s">
        <v>320</v>
      </c>
      <c r="J7" s="6" t="s">
        <v>321</v>
      </c>
      <c r="K7" s="6" t="s">
        <v>322</v>
      </c>
      <c r="L7" s="6" t="s">
        <v>45</v>
      </c>
      <c r="M7" s="8" t="s">
        <v>244</v>
      </c>
      <c r="N7" s="21" t="s">
        <v>247</v>
      </c>
      <c r="O7" s="22" t="s">
        <v>256</v>
      </c>
      <c r="P7" s="4"/>
      <c r="Q7" s="4"/>
      <c r="R7" s="4"/>
      <c r="S7" s="4"/>
      <c r="T7" s="4"/>
      <c r="U7" s="4"/>
      <c r="V7" s="4"/>
      <c r="W7" s="4"/>
      <c r="X7" s="4"/>
      <c r="Y7" s="4"/>
      <c r="Z7" s="4"/>
    </row>
    <row r="8" ht="60.75" customHeight="1">
      <c r="A8" s="6" t="s">
        <v>323</v>
      </c>
      <c r="B8" s="6" t="s">
        <v>324</v>
      </c>
      <c r="C8" s="6" t="s">
        <v>325</v>
      </c>
      <c r="D8" s="6" t="s">
        <v>238</v>
      </c>
      <c r="E8" s="6" t="s">
        <v>317</v>
      </c>
      <c r="F8" s="6" t="s">
        <v>251</v>
      </c>
      <c r="G8" s="6" t="s">
        <v>326</v>
      </c>
      <c r="H8" s="6" t="s">
        <v>327</v>
      </c>
      <c r="I8" s="6" t="s">
        <v>328</v>
      </c>
      <c r="J8" s="6" t="s">
        <v>329</v>
      </c>
      <c r="K8" s="6" t="s">
        <v>330</v>
      </c>
      <c r="L8" s="6" t="s">
        <v>45</v>
      </c>
      <c r="M8" s="20" t="s">
        <v>243</v>
      </c>
      <c r="N8" s="21" t="s">
        <v>247</v>
      </c>
      <c r="O8" s="22" t="s">
        <v>256</v>
      </c>
      <c r="P8" s="4"/>
      <c r="Q8" s="4"/>
      <c r="R8" s="4"/>
      <c r="S8" s="4"/>
      <c r="T8" s="4"/>
      <c r="U8" s="4"/>
      <c r="V8" s="4"/>
      <c r="W8" s="4"/>
      <c r="X8" s="4"/>
      <c r="Y8" s="4"/>
      <c r="Z8" s="4"/>
    </row>
    <row r="9" ht="66.75" customHeight="1">
      <c r="A9" s="6" t="s">
        <v>331</v>
      </c>
      <c r="B9" s="6" t="s">
        <v>332</v>
      </c>
      <c r="C9" s="6" t="s">
        <v>333</v>
      </c>
      <c r="D9" s="6" t="s">
        <v>238</v>
      </c>
      <c r="E9" s="6" t="s">
        <v>317</v>
      </c>
      <c r="F9" s="6" t="s">
        <v>251</v>
      </c>
      <c r="G9" s="6" t="s">
        <v>334</v>
      </c>
      <c r="H9" s="6" t="s">
        <v>335</v>
      </c>
      <c r="I9" s="6" t="s">
        <v>336</v>
      </c>
      <c r="J9" s="6" t="s">
        <v>337</v>
      </c>
      <c r="K9" s="6" t="s">
        <v>338</v>
      </c>
      <c r="L9" s="6" t="s">
        <v>339</v>
      </c>
      <c r="M9" s="20" t="s">
        <v>243</v>
      </c>
      <c r="N9" s="21" t="s">
        <v>247</v>
      </c>
      <c r="O9" s="22" t="s">
        <v>256</v>
      </c>
      <c r="P9" s="4"/>
      <c r="Q9" s="4"/>
      <c r="R9" s="4"/>
      <c r="S9" s="4"/>
      <c r="T9" s="4"/>
      <c r="U9" s="4"/>
      <c r="V9" s="4"/>
      <c r="W9" s="4"/>
      <c r="X9" s="4"/>
      <c r="Y9" s="4"/>
      <c r="Z9" s="4"/>
    </row>
    <row r="10" ht="36.0" customHeight="1">
      <c r="A10" s="6" t="s">
        <v>340</v>
      </c>
      <c r="B10" s="6" t="s">
        <v>341</v>
      </c>
      <c r="C10" s="6" t="s">
        <v>342</v>
      </c>
      <c r="D10" s="6" t="s">
        <v>238</v>
      </c>
      <c r="E10" s="6" t="s">
        <v>317</v>
      </c>
      <c r="F10" s="6" t="s">
        <v>252</v>
      </c>
      <c r="G10" s="6" t="s">
        <v>334</v>
      </c>
      <c r="H10" s="6" t="s">
        <v>45</v>
      </c>
      <c r="I10" s="6" t="s">
        <v>343</v>
      </c>
      <c r="J10" s="6" t="s">
        <v>344</v>
      </c>
      <c r="K10" s="6" t="s">
        <v>345</v>
      </c>
      <c r="L10" s="6" t="s">
        <v>45</v>
      </c>
      <c r="M10" s="20" t="s">
        <v>243</v>
      </c>
      <c r="N10" s="21" t="s">
        <v>247</v>
      </c>
      <c r="O10" s="22" t="s">
        <v>256</v>
      </c>
      <c r="P10" s="4"/>
      <c r="Q10" s="4"/>
      <c r="R10" s="4"/>
      <c r="S10" s="4"/>
      <c r="T10" s="4"/>
      <c r="U10" s="4"/>
      <c r="V10" s="4"/>
      <c r="W10" s="4"/>
      <c r="X10" s="4"/>
      <c r="Y10" s="4"/>
      <c r="Z10" s="4"/>
    </row>
    <row r="11" ht="30.0" customHeight="1">
      <c r="A11" s="6" t="s">
        <v>346</v>
      </c>
      <c r="B11" s="6" t="s">
        <v>347</v>
      </c>
      <c r="C11" s="6" t="s">
        <v>348</v>
      </c>
      <c r="D11" s="6" t="s">
        <v>238</v>
      </c>
      <c r="E11" s="6" t="s">
        <v>317</v>
      </c>
      <c r="F11" s="6" t="s">
        <v>253</v>
      </c>
      <c r="G11" s="6" t="s">
        <v>349</v>
      </c>
      <c r="H11" s="6" t="s">
        <v>45</v>
      </c>
      <c r="I11" s="6" t="s">
        <v>350</v>
      </c>
      <c r="J11" s="6" t="s">
        <v>351</v>
      </c>
      <c r="K11" s="6" t="s">
        <v>352</v>
      </c>
      <c r="L11" s="6" t="s">
        <v>45</v>
      </c>
      <c r="M11" s="8" t="s">
        <v>244</v>
      </c>
      <c r="N11" s="21" t="s">
        <v>247</v>
      </c>
      <c r="O11" s="22" t="s">
        <v>256</v>
      </c>
      <c r="P11" s="4"/>
      <c r="Q11" s="4"/>
      <c r="R11" s="4"/>
      <c r="S11" s="4"/>
      <c r="T11" s="4"/>
      <c r="U11" s="4"/>
      <c r="V11" s="4"/>
      <c r="W11" s="4"/>
      <c r="X11" s="4"/>
      <c r="Y11" s="4"/>
      <c r="Z11" s="4"/>
    </row>
    <row r="12" ht="51.0" customHeight="1">
      <c r="A12" s="6" t="s">
        <v>353</v>
      </c>
      <c r="B12" s="6" t="s">
        <v>354</v>
      </c>
      <c r="C12" s="6" t="s">
        <v>355</v>
      </c>
      <c r="D12" s="6" t="s">
        <v>238</v>
      </c>
      <c r="E12" s="6" t="s">
        <v>356</v>
      </c>
      <c r="F12" s="6" t="s">
        <v>252</v>
      </c>
      <c r="G12" s="6" t="s">
        <v>357</v>
      </c>
      <c r="H12" s="6" t="s">
        <v>358</v>
      </c>
      <c r="I12" s="6" t="s">
        <v>359</v>
      </c>
      <c r="J12" s="6" t="s">
        <v>360</v>
      </c>
      <c r="K12" s="6" t="s">
        <v>361</v>
      </c>
      <c r="L12" s="6" t="s">
        <v>45</v>
      </c>
      <c r="M12" s="8" t="s">
        <v>244</v>
      </c>
      <c r="N12" s="21" t="s">
        <v>247</v>
      </c>
      <c r="O12" s="22" t="s">
        <v>256</v>
      </c>
      <c r="P12" s="4"/>
      <c r="Q12" s="4"/>
      <c r="R12" s="4"/>
      <c r="S12" s="4"/>
      <c r="T12" s="4"/>
      <c r="U12" s="4"/>
      <c r="V12" s="4"/>
      <c r="W12" s="4"/>
      <c r="X12" s="4"/>
      <c r="Y12" s="4"/>
      <c r="Z12" s="4"/>
    </row>
    <row r="13" ht="60.75" customHeight="1">
      <c r="A13" s="6" t="s">
        <v>362</v>
      </c>
      <c r="B13" s="6" t="s">
        <v>363</v>
      </c>
      <c r="C13" s="6" t="s">
        <v>364</v>
      </c>
      <c r="D13" s="6" t="s">
        <v>238</v>
      </c>
      <c r="E13" s="6" t="s">
        <v>365</v>
      </c>
      <c r="F13" s="6" t="s">
        <v>252</v>
      </c>
      <c r="G13" s="6" t="s">
        <v>366</v>
      </c>
      <c r="H13" s="6" t="s">
        <v>367</v>
      </c>
      <c r="I13" s="6" t="s">
        <v>368</v>
      </c>
      <c r="J13" s="6" t="s">
        <v>369</v>
      </c>
      <c r="K13" s="6" t="s">
        <v>370</v>
      </c>
      <c r="L13" s="6" t="s">
        <v>371</v>
      </c>
      <c r="M13" s="20" t="s">
        <v>243</v>
      </c>
      <c r="N13" s="21" t="s">
        <v>247</v>
      </c>
      <c r="O13" s="22" t="s">
        <v>256</v>
      </c>
      <c r="P13" s="4"/>
      <c r="Q13" s="4"/>
      <c r="R13" s="4"/>
      <c r="S13" s="4"/>
      <c r="T13" s="4"/>
      <c r="U13" s="4"/>
      <c r="V13" s="4"/>
      <c r="W13" s="4"/>
      <c r="X13" s="4"/>
      <c r="Y13" s="4"/>
      <c r="Z13" s="4"/>
    </row>
    <row r="14" ht="48.0" customHeight="1">
      <c r="A14" s="6" t="s">
        <v>372</v>
      </c>
      <c r="B14" s="6" t="s">
        <v>373</v>
      </c>
      <c r="C14" s="6" t="s">
        <v>374</v>
      </c>
      <c r="D14" s="6" t="s">
        <v>238</v>
      </c>
      <c r="E14" s="6" t="s">
        <v>375</v>
      </c>
      <c r="F14" s="6" t="s">
        <v>252</v>
      </c>
      <c r="G14" s="6" t="s">
        <v>376</v>
      </c>
      <c r="H14" s="6" t="s">
        <v>45</v>
      </c>
      <c r="I14" s="6" t="s">
        <v>377</v>
      </c>
      <c r="J14" s="6" t="s">
        <v>378</v>
      </c>
      <c r="K14" s="6" t="s">
        <v>379</v>
      </c>
      <c r="L14" s="6" t="s">
        <v>45</v>
      </c>
      <c r="M14" s="20" t="s">
        <v>243</v>
      </c>
      <c r="N14" s="21" t="s">
        <v>247</v>
      </c>
      <c r="O14" s="22" t="s">
        <v>256</v>
      </c>
      <c r="P14" s="4"/>
      <c r="Q14" s="4"/>
      <c r="R14" s="4"/>
      <c r="S14" s="4"/>
      <c r="T14" s="4"/>
      <c r="U14" s="4"/>
      <c r="V14" s="4"/>
      <c r="W14" s="4"/>
      <c r="X14" s="4"/>
      <c r="Y14" s="4"/>
      <c r="Z14" s="4"/>
    </row>
    <row r="15" ht="30.0" customHeight="1">
      <c r="A15" s="6" t="s">
        <v>380</v>
      </c>
      <c r="B15" s="6" t="s">
        <v>381</v>
      </c>
      <c r="C15" s="6" t="s">
        <v>382</v>
      </c>
      <c r="D15" s="6" t="s">
        <v>238</v>
      </c>
      <c r="E15" s="6" t="s">
        <v>375</v>
      </c>
      <c r="F15" s="6" t="s">
        <v>253</v>
      </c>
      <c r="G15" s="6" t="s">
        <v>318</v>
      </c>
      <c r="H15" s="6" t="s">
        <v>45</v>
      </c>
      <c r="I15" s="6" t="s">
        <v>383</v>
      </c>
      <c r="J15" s="6" t="s">
        <v>384</v>
      </c>
      <c r="K15" s="6" t="s">
        <v>385</v>
      </c>
      <c r="L15" s="6" t="s">
        <v>45</v>
      </c>
      <c r="M15" s="8" t="s">
        <v>244</v>
      </c>
      <c r="N15" s="21" t="s">
        <v>247</v>
      </c>
      <c r="O15" s="22" t="s">
        <v>256</v>
      </c>
      <c r="P15" s="4"/>
      <c r="Q15" s="4"/>
      <c r="R15" s="4"/>
      <c r="S15" s="4"/>
      <c r="T15" s="4"/>
      <c r="U15" s="4"/>
      <c r="V15" s="4"/>
      <c r="W15" s="4"/>
      <c r="X15" s="4"/>
      <c r="Y15" s="4"/>
      <c r="Z15" s="4"/>
    </row>
    <row r="16" ht="30.0" customHeight="1">
      <c r="A16" s="6" t="s">
        <v>386</v>
      </c>
      <c r="B16" s="6" t="s">
        <v>387</v>
      </c>
      <c r="C16" s="6" t="s">
        <v>388</v>
      </c>
      <c r="D16" s="6" t="s">
        <v>238</v>
      </c>
      <c r="E16" s="6" t="s">
        <v>375</v>
      </c>
      <c r="F16" s="6" t="s">
        <v>253</v>
      </c>
      <c r="G16" s="6" t="s">
        <v>318</v>
      </c>
      <c r="H16" s="6" t="s">
        <v>45</v>
      </c>
      <c r="I16" s="6" t="s">
        <v>389</v>
      </c>
      <c r="J16" s="6" t="s">
        <v>390</v>
      </c>
      <c r="K16" s="6" t="s">
        <v>391</v>
      </c>
      <c r="L16" s="6" t="s">
        <v>45</v>
      </c>
      <c r="M16" s="8" t="s">
        <v>244</v>
      </c>
      <c r="N16" s="21" t="s">
        <v>247</v>
      </c>
      <c r="O16" s="22" t="s">
        <v>256</v>
      </c>
      <c r="P16" s="4"/>
      <c r="Q16" s="4"/>
      <c r="R16" s="4"/>
      <c r="S16" s="4"/>
      <c r="T16" s="4"/>
      <c r="U16" s="4"/>
      <c r="V16" s="4"/>
      <c r="W16" s="4"/>
      <c r="X16" s="4"/>
      <c r="Y16" s="4"/>
      <c r="Z16" s="4"/>
    </row>
    <row r="17" ht="75.75" customHeight="1">
      <c r="A17" s="6" t="s">
        <v>392</v>
      </c>
      <c r="B17" s="6" t="s">
        <v>393</v>
      </c>
      <c r="C17" s="6" t="s">
        <v>394</v>
      </c>
      <c r="D17" s="6" t="s">
        <v>238</v>
      </c>
      <c r="E17" s="6" t="s">
        <v>395</v>
      </c>
      <c r="F17" s="6" t="s">
        <v>252</v>
      </c>
      <c r="G17" s="6" t="s">
        <v>396</v>
      </c>
      <c r="H17" s="6" t="s">
        <v>397</v>
      </c>
      <c r="I17" s="6" t="s">
        <v>398</v>
      </c>
      <c r="J17" s="6" t="s">
        <v>399</v>
      </c>
      <c r="K17" s="6" t="s">
        <v>400</v>
      </c>
      <c r="L17" s="6" t="s">
        <v>45</v>
      </c>
      <c r="M17" s="8" t="s">
        <v>244</v>
      </c>
      <c r="N17" s="21" t="s">
        <v>247</v>
      </c>
      <c r="O17" s="22" t="s">
        <v>256</v>
      </c>
      <c r="P17" s="4"/>
      <c r="Q17" s="4"/>
      <c r="R17" s="4"/>
      <c r="S17" s="4"/>
      <c r="T17" s="4"/>
      <c r="U17" s="4"/>
      <c r="V17" s="4"/>
      <c r="W17" s="4"/>
      <c r="X17" s="4"/>
      <c r="Y17" s="4"/>
      <c r="Z17" s="4"/>
    </row>
    <row r="18" ht="58.5" customHeight="1">
      <c r="A18" s="6" t="s">
        <v>401</v>
      </c>
      <c r="B18" s="6" t="s">
        <v>402</v>
      </c>
      <c r="C18" s="6" t="s">
        <v>403</v>
      </c>
      <c r="D18" s="6" t="s">
        <v>238</v>
      </c>
      <c r="E18" s="6" t="s">
        <v>395</v>
      </c>
      <c r="F18" s="6" t="s">
        <v>253</v>
      </c>
      <c r="G18" s="6" t="s">
        <v>318</v>
      </c>
      <c r="H18" s="6" t="s">
        <v>404</v>
      </c>
      <c r="I18" s="6" t="s">
        <v>405</v>
      </c>
      <c r="J18" s="6" t="s">
        <v>406</v>
      </c>
      <c r="K18" s="6" t="s">
        <v>407</v>
      </c>
      <c r="L18" s="6" t="s">
        <v>45</v>
      </c>
      <c r="M18" s="8" t="s">
        <v>244</v>
      </c>
      <c r="N18" s="21" t="s">
        <v>247</v>
      </c>
      <c r="O18" s="22" t="s">
        <v>256</v>
      </c>
      <c r="P18" s="4"/>
      <c r="Q18" s="4"/>
      <c r="R18" s="4"/>
      <c r="S18" s="4"/>
      <c r="T18" s="4"/>
      <c r="U18" s="4"/>
      <c r="V18" s="4"/>
      <c r="W18" s="4"/>
      <c r="X18" s="4"/>
      <c r="Y18" s="4"/>
      <c r="Z18" s="4"/>
    </row>
    <row r="19" ht="56.25" customHeight="1">
      <c r="A19" s="6" t="s">
        <v>408</v>
      </c>
      <c r="B19" s="6" t="s">
        <v>409</v>
      </c>
      <c r="C19" s="6" t="s">
        <v>410</v>
      </c>
      <c r="D19" s="6" t="s">
        <v>238</v>
      </c>
      <c r="E19" s="6" t="s">
        <v>395</v>
      </c>
      <c r="F19" s="6" t="s">
        <v>253</v>
      </c>
      <c r="G19" s="6" t="s">
        <v>318</v>
      </c>
      <c r="H19" s="6" t="s">
        <v>411</v>
      </c>
      <c r="I19" s="6" t="s">
        <v>412</v>
      </c>
      <c r="J19" s="6" t="s">
        <v>413</v>
      </c>
      <c r="K19" s="6" t="s">
        <v>414</v>
      </c>
      <c r="L19" s="6" t="s">
        <v>45</v>
      </c>
      <c r="M19" s="8" t="s">
        <v>244</v>
      </c>
      <c r="N19" s="21" t="s">
        <v>247</v>
      </c>
      <c r="O19" s="22" t="s">
        <v>256</v>
      </c>
      <c r="P19" s="4"/>
      <c r="Q19" s="4"/>
      <c r="R19" s="4"/>
      <c r="S19" s="4"/>
      <c r="T19" s="4"/>
      <c r="U19" s="4"/>
      <c r="V19" s="4"/>
      <c r="W19" s="4"/>
      <c r="X19" s="4"/>
      <c r="Y19" s="4"/>
      <c r="Z19" s="4"/>
    </row>
    <row r="20" ht="42.0" customHeight="1">
      <c r="A20" s="6" t="s">
        <v>415</v>
      </c>
      <c r="B20" s="6" t="s">
        <v>416</v>
      </c>
      <c r="C20" s="6" t="s">
        <v>417</v>
      </c>
      <c r="D20" s="6" t="s">
        <v>238</v>
      </c>
      <c r="E20" s="6" t="s">
        <v>395</v>
      </c>
      <c r="F20" s="6" t="s">
        <v>253</v>
      </c>
      <c r="G20" s="6" t="s">
        <v>418</v>
      </c>
      <c r="H20" s="6" t="s">
        <v>45</v>
      </c>
      <c r="I20" s="6" t="s">
        <v>419</v>
      </c>
      <c r="J20" s="6" t="s">
        <v>420</v>
      </c>
      <c r="K20" s="6" t="s">
        <v>421</v>
      </c>
      <c r="L20" s="6" t="s">
        <v>45</v>
      </c>
      <c r="M20" s="8" t="s">
        <v>244</v>
      </c>
      <c r="N20" s="21" t="s">
        <v>247</v>
      </c>
      <c r="O20" s="22" t="s">
        <v>256</v>
      </c>
      <c r="P20" s="4"/>
      <c r="Q20" s="4"/>
      <c r="R20" s="4"/>
      <c r="S20" s="4"/>
      <c r="T20" s="4"/>
      <c r="U20" s="4"/>
      <c r="V20" s="4"/>
      <c r="W20" s="4"/>
      <c r="X20" s="4"/>
      <c r="Y20" s="4"/>
      <c r="Z20" s="4"/>
    </row>
    <row r="21" ht="42.75" customHeight="1">
      <c r="A21" s="6" t="s">
        <v>422</v>
      </c>
      <c r="B21" s="6" t="s">
        <v>423</v>
      </c>
      <c r="C21" s="6" t="s">
        <v>424</v>
      </c>
      <c r="D21" s="6" t="s">
        <v>238</v>
      </c>
      <c r="E21" s="6" t="s">
        <v>425</v>
      </c>
      <c r="F21" s="6" t="s">
        <v>253</v>
      </c>
      <c r="G21" s="6" t="s">
        <v>318</v>
      </c>
      <c r="H21" s="6" t="s">
        <v>426</v>
      </c>
      <c r="I21" s="6" t="s">
        <v>427</v>
      </c>
      <c r="J21" s="6" t="s">
        <v>428</v>
      </c>
      <c r="K21" s="6" t="s">
        <v>429</v>
      </c>
      <c r="L21" s="6" t="s">
        <v>45</v>
      </c>
      <c r="M21" s="8" t="s">
        <v>244</v>
      </c>
      <c r="N21" s="21" t="s">
        <v>247</v>
      </c>
      <c r="O21" s="22" t="s">
        <v>256</v>
      </c>
      <c r="P21" s="4"/>
      <c r="Q21" s="4"/>
      <c r="R21" s="4"/>
      <c r="S21" s="4"/>
      <c r="T21" s="4"/>
      <c r="U21" s="4"/>
      <c r="V21" s="4"/>
      <c r="W21" s="4"/>
      <c r="X21" s="4"/>
      <c r="Y21" s="4"/>
      <c r="Z21" s="4"/>
    </row>
    <row r="22" ht="32.25" customHeight="1">
      <c r="A22" s="6" t="s">
        <v>430</v>
      </c>
      <c r="B22" s="6" t="s">
        <v>431</v>
      </c>
      <c r="C22" s="6" t="s">
        <v>432</v>
      </c>
      <c r="D22" s="6" t="s">
        <v>238</v>
      </c>
      <c r="E22" s="6" t="s">
        <v>425</v>
      </c>
      <c r="F22" s="6" t="s">
        <v>253</v>
      </c>
      <c r="G22" s="6" t="s">
        <v>433</v>
      </c>
      <c r="H22" s="6" t="s">
        <v>45</v>
      </c>
      <c r="I22" s="6" t="s">
        <v>434</v>
      </c>
      <c r="J22" s="6" t="s">
        <v>435</v>
      </c>
      <c r="K22" s="6" t="s">
        <v>436</v>
      </c>
      <c r="L22" s="6" t="s">
        <v>45</v>
      </c>
      <c r="M22" s="8" t="s">
        <v>244</v>
      </c>
      <c r="N22" s="21" t="s">
        <v>247</v>
      </c>
      <c r="O22" s="22" t="s">
        <v>256</v>
      </c>
      <c r="P22" s="4"/>
      <c r="Q22" s="4"/>
      <c r="R22" s="4"/>
      <c r="S22" s="4"/>
      <c r="T22" s="4"/>
      <c r="U22" s="4"/>
      <c r="V22" s="4"/>
      <c r="W22" s="4"/>
      <c r="X22" s="4"/>
      <c r="Y22" s="4"/>
      <c r="Z22" s="4"/>
    </row>
    <row r="23" ht="61.5" customHeight="1">
      <c r="A23" s="6" t="s">
        <v>437</v>
      </c>
      <c r="B23" s="6" t="s">
        <v>438</v>
      </c>
      <c r="C23" s="6" t="s">
        <v>439</v>
      </c>
      <c r="D23" s="6" t="s">
        <v>238</v>
      </c>
      <c r="E23" s="6" t="s">
        <v>440</v>
      </c>
      <c r="F23" s="6" t="s">
        <v>252</v>
      </c>
      <c r="G23" s="6" t="s">
        <v>441</v>
      </c>
      <c r="H23" s="6" t="s">
        <v>45</v>
      </c>
      <c r="I23" s="6" t="s">
        <v>442</v>
      </c>
      <c r="J23" s="6" t="s">
        <v>443</v>
      </c>
      <c r="K23" s="6" t="s">
        <v>444</v>
      </c>
      <c r="L23" s="6" t="s">
        <v>45</v>
      </c>
      <c r="M23" s="20" t="s">
        <v>243</v>
      </c>
      <c r="N23" s="21" t="s">
        <v>247</v>
      </c>
      <c r="O23" s="22" t="s">
        <v>256</v>
      </c>
      <c r="P23" s="4"/>
      <c r="Q23" s="4"/>
      <c r="R23" s="4"/>
      <c r="S23" s="4"/>
      <c r="T23" s="4"/>
      <c r="U23" s="4"/>
      <c r="V23" s="4"/>
      <c r="W23" s="4"/>
      <c r="X23" s="4"/>
      <c r="Y23" s="4"/>
      <c r="Z23" s="4"/>
    </row>
    <row r="24" ht="56.25" customHeight="1">
      <c r="A24" s="6" t="s">
        <v>445</v>
      </c>
      <c r="B24" s="6" t="s">
        <v>446</v>
      </c>
      <c r="C24" s="6" t="s">
        <v>447</v>
      </c>
      <c r="D24" s="6" t="s">
        <v>238</v>
      </c>
      <c r="E24" s="6" t="s">
        <v>440</v>
      </c>
      <c r="F24" s="6" t="s">
        <v>253</v>
      </c>
      <c r="G24" s="6" t="s">
        <v>448</v>
      </c>
      <c r="H24" s="6" t="s">
        <v>45</v>
      </c>
      <c r="I24" s="6" t="s">
        <v>449</v>
      </c>
      <c r="J24" s="6" t="s">
        <v>450</v>
      </c>
      <c r="K24" s="6" t="s">
        <v>451</v>
      </c>
      <c r="L24" s="6" t="s">
        <v>45</v>
      </c>
      <c r="M24" s="8" t="s">
        <v>244</v>
      </c>
      <c r="N24" s="21" t="s">
        <v>247</v>
      </c>
      <c r="O24" s="22" t="s">
        <v>256</v>
      </c>
      <c r="P24" s="4"/>
      <c r="Q24" s="4"/>
      <c r="R24" s="4"/>
      <c r="S24" s="4"/>
      <c r="T24" s="4"/>
      <c r="U24" s="4"/>
      <c r="V24" s="4"/>
      <c r="W24" s="4"/>
      <c r="X24" s="4"/>
      <c r="Y24" s="4"/>
      <c r="Z24" s="4"/>
    </row>
    <row r="25" ht="35.25" customHeight="1">
      <c r="A25" s="6" t="s">
        <v>452</v>
      </c>
      <c r="B25" s="6" t="s">
        <v>453</v>
      </c>
      <c r="C25" s="6" t="s">
        <v>454</v>
      </c>
      <c r="D25" s="6" t="s">
        <v>238</v>
      </c>
      <c r="E25" s="6" t="s">
        <v>455</v>
      </c>
      <c r="F25" s="6" t="s">
        <v>252</v>
      </c>
      <c r="G25" s="6" t="s">
        <v>318</v>
      </c>
      <c r="H25" s="6" t="s">
        <v>45</v>
      </c>
      <c r="I25" s="6" t="s">
        <v>456</v>
      </c>
      <c r="J25" s="6" t="s">
        <v>457</v>
      </c>
      <c r="K25" s="6" t="s">
        <v>458</v>
      </c>
      <c r="L25" s="6" t="s">
        <v>45</v>
      </c>
      <c r="M25" s="8" t="s">
        <v>244</v>
      </c>
      <c r="N25" s="21" t="s">
        <v>247</v>
      </c>
      <c r="O25" s="22" t="s">
        <v>256</v>
      </c>
      <c r="P25" s="4"/>
      <c r="Q25" s="4"/>
      <c r="R25" s="4"/>
      <c r="S25" s="4"/>
      <c r="T25" s="4"/>
      <c r="U25" s="4"/>
      <c r="V25" s="4"/>
      <c r="W25" s="4"/>
      <c r="X25" s="4"/>
      <c r="Y25" s="4"/>
      <c r="Z25" s="4"/>
    </row>
    <row r="26" ht="36.0" customHeight="1">
      <c r="A26" s="6" t="s">
        <v>459</v>
      </c>
      <c r="B26" s="6" t="s">
        <v>460</v>
      </c>
      <c r="C26" s="6" t="s">
        <v>461</v>
      </c>
      <c r="D26" s="6" t="s">
        <v>238</v>
      </c>
      <c r="E26" s="6" t="s">
        <v>455</v>
      </c>
      <c r="F26" s="6" t="s">
        <v>252</v>
      </c>
      <c r="G26" s="6" t="s">
        <v>318</v>
      </c>
      <c r="H26" s="6" t="s">
        <v>45</v>
      </c>
      <c r="I26" s="6" t="s">
        <v>462</v>
      </c>
      <c r="J26" s="6" t="s">
        <v>463</v>
      </c>
      <c r="K26" s="6" t="s">
        <v>458</v>
      </c>
      <c r="L26" s="6" t="s">
        <v>45</v>
      </c>
      <c r="M26" s="8" t="s">
        <v>244</v>
      </c>
      <c r="N26" s="21" t="s">
        <v>247</v>
      </c>
      <c r="O26" s="22" t="s">
        <v>256</v>
      </c>
      <c r="P26" s="4"/>
      <c r="Q26" s="4"/>
      <c r="R26" s="4"/>
      <c r="S26" s="4"/>
      <c r="T26" s="4"/>
      <c r="U26" s="4"/>
      <c r="V26" s="4"/>
      <c r="W26" s="4"/>
      <c r="X26" s="4"/>
      <c r="Y26" s="4"/>
      <c r="Z26" s="4"/>
    </row>
    <row r="27" ht="30.75" customHeight="1">
      <c r="A27" s="6" t="s">
        <v>464</v>
      </c>
      <c r="B27" s="6" t="s">
        <v>465</v>
      </c>
      <c r="C27" s="6" t="s">
        <v>466</v>
      </c>
      <c r="D27" s="6" t="s">
        <v>238</v>
      </c>
      <c r="E27" s="6" t="s">
        <v>467</v>
      </c>
      <c r="F27" s="6" t="s">
        <v>253</v>
      </c>
      <c r="G27" s="6" t="s">
        <v>468</v>
      </c>
      <c r="H27" s="6" t="s">
        <v>45</v>
      </c>
      <c r="I27" s="6" t="s">
        <v>469</v>
      </c>
      <c r="J27" s="6" t="s">
        <v>470</v>
      </c>
      <c r="K27" s="6" t="s">
        <v>471</v>
      </c>
      <c r="L27" s="6" t="s">
        <v>45</v>
      </c>
      <c r="M27" s="8" t="s">
        <v>244</v>
      </c>
      <c r="N27" s="21" t="s">
        <v>247</v>
      </c>
      <c r="O27" s="22" t="s">
        <v>256</v>
      </c>
      <c r="P27" s="4"/>
      <c r="Q27" s="4"/>
      <c r="R27" s="4"/>
      <c r="S27" s="4"/>
      <c r="T27" s="4"/>
      <c r="U27" s="4"/>
      <c r="V27" s="4"/>
      <c r="W27" s="4"/>
      <c r="X27" s="4"/>
      <c r="Y27" s="4"/>
      <c r="Z27" s="4"/>
    </row>
    <row r="28" ht="49.5" customHeight="1">
      <c r="A28" s="6" t="s">
        <v>472</v>
      </c>
      <c r="B28" s="6" t="s">
        <v>473</v>
      </c>
      <c r="C28" s="6" t="s">
        <v>474</v>
      </c>
      <c r="D28" s="6" t="s">
        <v>238</v>
      </c>
      <c r="E28" s="6" t="s">
        <v>475</v>
      </c>
      <c r="F28" s="6" t="s">
        <v>253</v>
      </c>
      <c r="G28" s="6" t="s">
        <v>318</v>
      </c>
      <c r="H28" s="6" t="s">
        <v>476</v>
      </c>
      <c r="I28" s="6" t="s">
        <v>477</v>
      </c>
      <c r="J28" s="6" t="s">
        <v>478</v>
      </c>
      <c r="K28" s="6" t="s">
        <v>479</v>
      </c>
      <c r="L28" s="6" t="s">
        <v>45</v>
      </c>
      <c r="M28" s="8" t="s">
        <v>244</v>
      </c>
      <c r="N28" s="21" t="s">
        <v>247</v>
      </c>
      <c r="O28" s="22" t="s">
        <v>256</v>
      </c>
      <c r="P28" s="4"/>
      <c r="Q28" s="4"/>
      <c r="R28" s="4"/>
      <c r="S28" s="4"/>
      <c r="T28" s="4"/>
      <c r="U28" s="4"/>
      <c r="V28" s="4"/>
      <c r="W28" s="4"/>
      <c r="X28" s="4"/>
      <c r="Y28" s="4"/>
      <c r="Z28" s="4"/>
    </row>
    <row r="29" ht="37.5" customHeight="1">
      <c r="A29" s="6" t="s">
        <v>480</v>
      </c>
      <c r="B29" s="6" t="s">
        <v>481</v>
      </c>
      <c r="C29" s="6" t="s">
        <v>482</v>
      </c>
      <c r="D29" s="6" t="s">
        <v>238</v>
      </c>
      <c r="E29" s="6" t="s">
        <v>483</v>
      </c>
      <c r="F29" s="6" t="s">
        <v>251</v>
      </c>
      <c r="G29" s="6" t="s">
        <v>484</v>
      </c>
      <c r="H29" s="6" t="s">
        <v>485</v>
      </c>
      <c r="I29" s="6" t="s">
        <v>486</v>
      </c>
      <c r="J29" s="6" t="s">
        <v>487</v>
      </c>
      <c r="K29" s="6" t="s">
        <v>488</v>
      </c>
      <c r="L29" s="6" t="s">
        <v>489</v>
      </c>
      <c r="M29" s="20" t="s">
        <v>243</v>
      </c>
      <c r="N29" s="21" t="s">
        <v>247</v>
      </c>
      <c r="O29" s="22" t="s">
        <v>256</v>
      </c>
      <c r="P29" s="4"/>
      <c r="Q29" s="4"/>
      <c r="R29" s="4"/>
      <c r="S29" s="4"/>
      <c r="T29" s="4"/>
      <c r="U29" s="4"/>
      <c r="V29" s="4"/>
      <c r="W29" s="4"/>
      <c r="X29" s="4"/>
      <c r="Y29" s="4"/>
      <c r="Z29" s="4"/>
    </row>
    <row r="30" ht="102.0" customHeight="1">
      <c r="A30" s="6" t="s">
        <v>490</v>
      </c>
      <c r="B30" s="6" t="s">
        <v>491</v>
      </c>
      <c r="C30" s="6" t="s">
        <v>492</v>
      </c>
      <c r="D30" s="6" t="s">
        <v>238</v>
      </c>
      <c r="E30" s="6" t="s">
        <v>493</v>
      </c>
      <c r="F30" s="6" t="s">
        <v>251</v>
      </c>
      <c r="G30" s="6" t="s">
        <v>494</v>
      </c>
      <c r="H30" s="6" t="s">
        <v>45</v>
      </c>
      <c r="I30" s="6" t="s">
        <v>495</v>
      </c>
      <c r="J30" s="6" t="s">
        <v>496</v>
      </c>
      <c r="K30" s="6" t="s">
        <v>497</v>
      </c>
      <c r="L30" s="6" t="s">
        <v>498</v>
      </c>
      <c r="M30" s="20" t="s">
        <v>243</v>
      </c>
      <c r="N30" s="21" t="s">
        <v>247</v>
      </c>
      <c r="O30" s="22" t="s">
        <v>256</v>
      </c>
      <c r="P30" s="4"/>
      <c r="Q30" s="4"/>
      <c r="R30" s="4"/>
      <c r="S30" s="4"/>
      <c r="T30" s="4"/>
      <c r="U30" s="4"/>
      <c r="V30" s="4"/>
      <c r="W30" s="4"/>
      <c r="X30" s="4"/>
      <c r="Y30" s="4"/>
      <c r="Z30" s="4"/>
    </row>
    <row r="31" ht="57.0" customHeight="1">
      <c r="A31" s="6" t="s">
        <v>499</v>
      </c>
      <c r="B31" s="6" t="s">
        <v>500</v>
      </c>
      <c r="C31" s="6" t="s">
        <v>501</v>
      </c>
      <c r="D31" s="6" t="s">
        <v>238</v>
      </c>
      <c r="E31" s="6" t="s">
        <v>502</v>
      </c>
      <c r="F31" s="6" t="s">
        <v>251</v>
      </c>
      <c r="G31" s="6" t="s">
        <v>503</v>
      </c>
      <c r="H31" s="6" t="s">
        <v>504</v>
      </c>
      <c r="I31" s="6" t="s">
        <v>14</v>
      </c>
      <c r="J31" s="6" t="s">
        <v>505</v>
      </c>
      <c r="K31" s="6" t="s">
        <v>506</v>
      </c>
      <c r="L31" s="6" t="s">
        <v>507</v>
      </c>
      <c r="M31" s="20" t="s">
        <v>243</v>
      </c>
      <c r="N31" s="21" t="s">
        <v>247</v>
      </c>
      <c r="O31" s="22" t="s">
        <v>256</v>
      </c>
      <c r="P31" s="4"/>
      <c r="Q31" s="4"/>
      <c r="R31" s="4"/>
      <c r="S31" s="4"/>
      <c r="T31" s="4"/>
      <c r="U31" s="4"/>
      <c r="V31" s="4"/>
      <c r="W31" s="4"/>
      <c r="X31" s="4"/>
      <c r="Y31" s="4"/>
      <c r="Z31" s="4"/>
    </row>
    <row r="32" ht="69.0" customHeight="1">
      <c r="A32" s="6" t="s">
        <v>508</v>
      </c>
      <c r="B32" s="6" t="s">
        <v>509</v>
      </c>
      <c r="C32" s="6" t="s">
        <v>510</v>
      </c>
      <c r="D32" s="6" t="s">
        <v>238</v>
      </c>
      <c r="E32" s="6" t="s">
        <v>502</v>
      </c>
      <c r="F32" s="6" t="s">
        <v>251</v>
      </c>
      <c r="G32" s="6" t="s">
        <v>511</v>
      </c>
      <c r="H32" s="6" t="s">
        <v>512</v>
      </c>
      <c r="I32" s="6" t="s">
        <v>513</v>
      </c>
      <c r="J32" s="6" t="s">
        <v>514</v>
      </c>
      <c r="K32" s="6" t="s">
        <v>515</v>
      </c>
      <c r="L32" s="6" t="s">
        <v>516</v>
      </c>
      <c r="M32" s="20" t="s">
        <v>243</v>
      </c>
      <c r="N32" s="21" t="s">
        <v>247</v>
      </c>
      <c r="O32" s="22" t="s">
        <v>256</v>
      </c>
      <c r="P32" s="4"/>
      <c r="Q32" s="4"/>
      <c r="R32" s="4"/>
      <c r="S32" s="4"/>
      <c r="T32" s="4"/>
      <c r="U32" s="4"/>
      <c r="V32" s="4"/>
      <c r="W32" s="4"/>
      <c r="X32" s="4"/>
      <c r="Y32" s="4"/>
      <c r="Z32" s="4"/>
    </row>
    <row r="33" ht="90.75" customHeight="1">
      <c r="A33" s="6" t="s">
        <v>517</v>
      </c>
      <c r="B33" s="6" t="s">
        <v>518</v>
      </c>
      <c r="C33" s="6" t="s">
        <v>519</v>
      </c>
      <c r="D33" s="6" t="s">
        <v>238</v>
      </c>
      <c r="E33" s="6" t="s">
        <v>520</v>
      </c>
      <c r="F33" s="6" t="s">
        <v>252</v>
      </c>
      <c r="G33" s="6" t="s">
        <v>318</v>
      </c>
      <c r="H33" s="6" t="s">
        <v>45</v>
      </c>
      <c r="I33" s="6" t="s">
        <v>521</v>
      </c>
      <c r="J33" s="6" t="s">
        <v>522</v>
      </c>
      <c r="K33" s="6" t="s">
        <v>523</v>
      </c>
      <c r="L33" s="6" t="s">
        <v>45</v>
      </c>
      <c r="M33" s="8" t="s">
        <v>244</v>
      </c>
      <c r="N33" s="21" t="s">
        <v>247</v>
      </c>
      <c r="O33" s="22" t="s">
        <v>256</v>
      </c>
      <c r="P33" s="4"/>
      <c r="Q33" s="4"/>
      <c r="R33" s="4"/>
      <c r="S33" s="4"/>
      <c r="T33" s="4"/>
      <c r="U33" s="4"/>
      <c r="V33" s="4"/>
      <c r="W33" s="4"/>
      <c r="X33" s="4"/>
      <c r="Y33" s="4"/>
      <c r="Z33" s="4"/>
    </row>
    <row r="34" ht="139.5" customHeight="1">
      <c r="A34" s="6" t="s">
        <v>524</v>
      </c>
      <c r="B34" s="6" t="s">
        <v>525</v>
      </c>
      <c r="C34" s="6" t="s">
        <v>526</v>
      </c>
      <c r="D34" s="6" t="s">
        <v>238</v>
      </c>
      <c r="E34" s="6" t="s">
        <v>527</v>
      </c>
      <c r="F34" s="6" t="s">
        <v>251</v>
      </c>
      <c r="G34" s="6" t="s">
        <v>318</v>
      </c>
      <c r="H34" s="6" t="s">
        <v>528</v>
      </c>
      <c r="I34" s="6" t="s">
        <v>529</v>
      </c>
      <c r="J34" s="6" t="s">
        <v>530</v>
      </c>
      <c r="K34" s="6" t="s">
        <v>531</v>
      </c>
      <c r="L34" s="6" t="s">
        <v>532</v>
      </c>
      <c r="M34" s="20" t="s">
        <v>243</v>
      </c>
      <c r="N34" s="21" t="s">
        <v>247</v>
      </c>
      <c r="O34" s="22" t="s">
        <v>256</v>
      </c>
      <c r="P34" s="4"/>
      <c r="Q34" s="4"/>
      <c r="R34" s="4"/>
      <c r="S34" s="4"/>
      <c r="T34" s="4"/>
      <c r="U34" s="4"/>
      <c r="V34" s="4"/>
      <c r="W34" s="4"/>
      <c r="X34" s="4"/>
      <c r="Y34" s="4"/>
      <c r="Z34" s="4"/>
    </row>
    <row r="35" ht="43.5" customHeight="1">
      <c r="A35" s="6" t="s">
        <v>533</v>
      </c>
      <c r="B35" s="6" t="s">
        <v>534</v>
      </c>
      <c r="C35" s="6" t="s">
        <v>535</v>
      </c>
      <c r="D35" s="6" t="s">
        <v>238</v>
      </c>
      <c r="E35" s="6" t="s">
        <v>536</v>
      </c>
      <c r="F35" s="6" t="s">
        <v>252</v>
      </c>
      <c r="G35" s="6" t="s">
        <v>318</v>
      </c>
      <c r="H35" s="6" t="s">
        <v>45</v>
      </c>
      <c r="I35" s="6" t="s">
        <v>537</v>
      </c>
      <c r="J35" s="6" t="s">
        <v>538</v>
      </c>
      <c r="K35" s="6" t="s">
        <v>539</v>
      </c>
      <c r="L35" s="6" t="s">
        <v>45</v>
      </c>
      <c r="M35" s="8" t="s">
        <v>244</v>
      </c>
      <c r="N35" s="21" t="s">
        <v>247</v>
      </c>
      <c r="O35" s="22" t="s">
        <v>256</v>
      </c>
      <c r="P35" s="4"/>
      <c r="Q35" s="4"/>
      <c r="R35" s="4"/>
      <c r="S35" s="4"/>
      <c r="T35" s="4"/>
      <c r="U35" s="4"/>
      <c r="V35" s="4"/>
      <c r="W35" s="4"/>
      <c r="X35" s="4"/>
      <c r="Y35" s="4"/>
      <c r="Z35" s="4"/>
    </row>
    <row r="36" ht="34.5" customHeight="1">
      <c r="A36" s="6" t="s">
        <v>540</v>
      </c>
      <c r="B36" s="6" t="s">
        <v>541</v>
      </c>
      <c r="C36" s="6" t="s">
        <v>542</v>
      </c>
      <c r="D36" s="6" t="s">
        <v>238</v>
      </c>
      <c r="E36" s="6" t="s">
        <v>543</v>
      </c>
      <c r="F36" s="6" t="s">
        <v>252</v>
      </c>
      <c r="G36" s="6" t="s">
        <v>334</v>
      </c>
      <c r="H36" s="6" t="s">
        <v>45</v>
      </c>
      <c r="I36" s="6" t="s">
        <v>544</v>
      </c>
      <c r="J36" s="6" t="s">
        <v>545</v>
      </c>
      <c r="K36" s="6" t="s">
        <v>546</v>
      </c>
      <c r="L36" s="6" t="s">
        <v>45</v>
      </c>
      <c r="M36" s="8" t="s">
        <v>244</v>
      </c>
      <c r="N36" s="21" t="s">
        <v>247</v>
      </c>
      <c r="O36" s="22" t="s">
        <v>256</v>
      </c>
      <c r="P36" s="4"/>
      <c r="Q36" s="4"/>
      <c r="R36" s="4"/>
      <c r="S36" s="4"/>
      <c r="T36" s="4"/>
      <c r="U36" s="4"/>
      <c r="V36" s="4"/>
      <c r="W36" s="4"/>
      <c r="X36" s="4"/>
      <c r="Y36" s="4"/>
      <c r="Z36" s="4"/>
    </row>
    <row r="37" ht="34.5" customHeight="1">
      <c r="A37" s="6" t="s">
        <v>547</v>
      </c>
      <c r="B37" s="6" t="s">
        <v>548</v>
      </c>
      <c r="C37" s="6" t="s">
        <v>549</v>
      </c>
      <c r="D37" s="6" t="s">
        <v>238</v>
      </c>
      <c r="E37" s="6" t="s">
        <v>543</v>
      </c>
      <c r="F37" s="6" t="s">
        <v>253</v>
      </c>
      <c r="G37" s="6" t="s">
        <v>334</v>
      </c>
      <c r="H37" s="6" t="s">
        <v>45</v>
      </c>
      <c r="I37" s="6" t="s">
        <v>550</v>
      </c>
      <c r="J37" s="6" t="s">
        <v>551</v>
      </c>
      <c r="K37" s="6" t="s">
        <v>552</v>
      </c>
      <c r="L37" s="6" t="s">
        <v>45</v>
      </c>
      <c r="M37" s="8" t="s">
        <v>244</v>
      </c>
      <c r="N37" s="21" t="s">
        <v>247</v>
      </c>
      <c r="O37" s="22" t="s">
        <v>256</v>
      </c>
      <c r="P37" s="4"/>
      <c r="Q37" s="4"/>
      <c r="R37" s="4"/>
      <c r="S37" s="4"/>
      <c r="T37" s="4"/>
      <c r="U37" s="4"/>
      <c r="V37" s="4"/>
      <c r="W37" s="4"/>
      <c r="X37" s="4"/>
      <c r="Y37" s="4"/>
      <c r="Z37" s="4"/>
    </row>
    <row r="38" ht="30.0" customHeight="1">
      <c r="A38" s="6" t="s">
        <v>553</v>
      </c>
      <c r="B38" s="6" t="s">
        <v>554</v>
      </c>
      <c r="C38" s="6" t="s">
        <v>555</v>
      </c>
      <c r="D38" s="6" t="s">
        <v>238</v>
      </c>
      <c r="E38" s="6" t="s">
        <v>543</v>
      </c>
      <c r="F38" s="6" t="s">
        <v>253</v>
      </c>
      <c r="G38" s="6" t="s">
        <v>334</v>
      </c>
      <c r="H38" s="6" t="s">
        <v>45</v>
      </c>
      <c r="I38" s="6" t="s">
        <v>556</v>
      </c>
      <c r="J38" s="6" t="s">
        <v>557</v>
      </c>
      <c r="K38" s="6" t="s">
        <v>558</v>
      </c>
      <c r="L38" s="6" t="s">
        <v>45</v>
      </c>
      <c r="M38" s="8" t="s">
        <v>244</v>
      </c>
      <c r="N38" s="21" t="s">
        <v>247</v>
      </c>
      <c r="O38" s="22" t="s">
        <v>256</v>
      </c>
      <c r="P38" s="4"/>
      <c r="Q38" s="4"/>
      <c r="R38" s="4"/>
      <c r="S38" s="4"/>
      <c r="T38" s="4"/>
      <c r="U38" s="4"/>
      <c r="V38" s="4"/>
      <c r="W38" s="4"/>
      <c r="X38" s="4"/>
      <c r="Y38" s="4"/>
      <c r="Z38" s="4"/>
    </row>
    <row r="39" ht="30.0" customHeight="1">
      <c r="A39" s="6" t="s">
        <v>559</v>
      </c>
      <c r="B39" s="6" t="s">
        <v>560</v>
      </c>
      <c r="C39" s="6" t="s">
        <v>561</v>
      </c>
      <c r="D39" s="6" t="s">
        <v>238</v>
      </c>
      <c r="E39" s="6" t="s">
        <v>543</v>
      </c>
      <c r="F39" s="6" t="s">
        <v>253</v>
      </c>
      <c r="G39" s="6" t="s">
        <v>334</v>
      </c>
      <c r="H39" s="6" t="s">
        <v>45</v>
      </c>
      <c r="I39" s="6" t="s">
        <v>562</v>
      </c>
      <c r="J39" s="6" t="s">
        <v>563</v>
      </c>
      <c r="K39" s="6" t="s">
        <v>564</v>
      </c>
      <c r="L39" s="6" t="s">
        <v>45</v>
      </c>
      <c r="M39" s="8" t="s">
        <v>244</v>
      </c>
      <c r="N39" s="21" t="s">
        <v>247</v>
      </c>
      <c r="O39" s="22" t="s">
        <v>256</v>
      </c>
      <c r="P39" s="4"/>
      <c r="Q39" s="4"/>
      <c r="R39" s="4"/>
      <c r="S39" s="4"/>
      <c r="T39" s="4"/>
      <c r="U39" s="4"/>
      <c r="V39" s="4"/>
      <c r="W39" s="4"/>
      <c r="X39" s="4"/>
      <c r="Y39" s="4"/>
      <c r="Z39" s="4"/>
    </row>
    <row r="40" ht="30.0" customHeight="1">
      <c r="A40" s="6" t="s">
        <v>565</v>
      </c>
      <c r="B40" s="6" t="s">
        <v>566</v>
      </c>
      <c r="C40" s="6" t="s">
        <v>567</v>
      </c>
      <c r="D40" s="6" t="s">
        <v>238</v>
      </c>
      <c r="E40" s="6" t="s">
        <v>543</v>
      </c>
      <c r="F40" s="6" t="s">
        <v>253</v>
      </c>
      <c r="G40" s="6" t="s">
        <v>334</v>
      </c>
      <c r="H40" s="6" t="s">
        <v>45</v>
      </c>
      <c r="I40" s="6" t="s">
        <v>568</v>
      </c>
      <c r="J40" s="6" t="s">
        <v>569</v>
      </c>
      <c r="K40" s="6" t="s">
        <v>570</v>
      </c>
      <c r="L40" s="6" t="s">
        <v>45</v>
      </c>
      <c r="M40" s="8" t="s">
        <v>244</v>
      </c>
      <c r="N40" s="21" t="s">
        <v>247</v>
      </c>
      <c r="O40" s="22" t="s">
        <v>256</v>
      </c>
      <c r="P40" s="4"/>
      <c r="Q40" s="4"/>
      <c r="R40" s="4"/>
      <c r="S40" s="4"/>
      <c r="T40" s="4"/>
      <c r="U40" s="4"/>
      <c r="V40" s="4"/>
      <c r="W40" s="4"/>
      <c r="X40" s="4"/>
      <c r="Y40" s="4"/>
      <c r="Z40" s="4"/>
    </row>
    <row r="41" ht="30.0" customHeight="1">
      <c r="A41" s="6" t="s">
        <v>571</v>
      </c>
      <c r="B41" s="6" t="s">
        <v>572</v>
      </c>
      <c r="C41" s="6" t="s">
        <v>573</v>
      </c>
      <c r="D41" s="6" t="s">
        <v>238</v>
      </c>
      <c r="E41" s="6" t="s">
        <v>543</v>
      </c>
      <c r="F41" s="6" t="s">
        <v>252</v>
      </c>
      <c r="G41" s="6" t="s">
        <v>334</v>
      </c>
      <c r="H41" s="6" t="s">
        <v>45</v>
      </c>
      <c r="I41" s="6" t="s">
        <v>574</v>
      </c>
      <c r="J41" s="6" t="s">
        <v>575</v>
      </c>
      <c r="K41" s="6" t="s">
        <v>576</v>
      </c>
      <c r="L41" s="6" t="s">
        <v>45</v>
      </c>
      <c r="M41" s="8" t="s">
        <v>244</v>
      </c>
      <c r="N41" s="21" t="s">
        <v>247</v>
      </c>
      <c r="O41" s="22" t="s">
        <v>256</v>
      </c>
      <c r="P41" s="4"/>
      <c r="Q41" s="4"/>
      <c r="R41" s="4"/>
      <c r="S41" s="4"/>
      <c r="T41" s="4"/>
      <c r="U41" s="4"/>
      <c r="V41" s="4"/>
      <c r="W41" s="4"/>
      <c r="X41" s="4"/>
      <c r="Y41" s="4"/>
      <c r="Z41" s="4"/>
    </row>
    <row r="42" ht="36.0" customHeight="1">
      <c r="A42" s="6" t="s">
        <v>577</v>
      </c>
      <c r="B42" s="6" t="s">
        <v>578</v>
      </c>
      <c r="C42" s="6" t="s">
        <v>579</v>
      </c>
      <c r="D42" s="6" t="s">
        <v>238</v>
      </c>
      <c r="E42" s="6" t="s">
        <v>580</v>
      </c>
      <c r="F42" s="6" t="s">
        <v>251</v>
      </c>
      <c r="G42" s="6" t="s">
        <v>581</v>
      </c>
      <c r="H42" s="6" t="s">
        <v>45</v>
      </c>
      <c r="I42" s="6" t="s">
        <v>582</v>
      </c>
      <c r="J42" s="6" t="s">
        <v>583</v>
      </c>
      <c r="K42" s="6" t="s">
        <v>584</v>
      </c>
      <c r="L42" s="6" t="s">
        <v>45</v>
      </c>
      <c r="M42" s="8" t="s">
        <v>244</v>
      </c>
      <c r="N42" s="21" t="s">
        <v>247</v>
      </c>
      <c r="O42" s="22" t="s">
        <v>256</v>
      </c>
      <c r="P42" s="4"/>
      <c r="Q42" s="4"/>
      <c r="R42" s="4"/>
      <c r="S42" s="4"/>
      <c r="T42" s="4"/>
      <c r="U42" s="4"/>
      <c r="V42" s="4"/>
      <c r="W42" s="4"/>
      <c r="X42" s="4"/>
      <c r="Y42" s="4"/>
      <c r="Z42" s="4"/>
    </row>
    <row r="43" ht="61.5" customHeight="1">
      <c r="A43" s="6" t="s">
        <v>585</v>
      </c>
      <c r="B43" s="6" t="s">
        <v>586</v>
      </c>
      <c r="C43" s="6" t="s">
        <v>587</v>
      </c>
      <c r="D43" s="6" t="s">
        <v>238</v>
      </c>
      <c r="E43" s="6" t="s">
        <v>588</v>
      </c>
      <c r="F43" s="6" t="s">
        <v>251</v>
      </c>
      <c r="G43" s="6" t="s">
        <v>589</v>
      </c>
      <c r="H43" s="6" t="s">
        <v>45</v>
      </c>
      <c r="I43" s="6" t="s">
        <v>590</v>
      </c>
      <c r="J43" s="6" t="s">
        <v>591</v>
      </c>
      <c r="K43" s="6" t="s">
        <v>592</v>
      </c>
      <c r="L43" s="6" t="s">
        <v>593</v>
      </c>
      <c r="M43" s="8" t="s">
        <v>244</v>
      </c>
      <c r="N43" s="21" t="s">
        <v>247</v>
      </c>
      <c r="O43" s="22" t="s">
        <v>256</v>
      </c>
      <c r="P43" s="4"/>
      <c r="Q43" s="4"/>
      <c r="R43" s="4"/>
      <c r="S43" s="4"/>
      <c r="T43" s="4"/>
      <c r="U43" s="4"/>
      <c r="V43" s="4"/>
      <c r="W43" s="4"/>
      <c r="X43" s="4"/>
      <c r="Y43" s="4"/>
      <c r="Z43" s="4"/>
    </row>
    <row r="44" ht="139.5" customHeight="1">
      <c r="A44" s="6" t="s">
        <v>594</v>
      </c>
      <c r="B44" s="6" t="s">
        <v>595</v>
      </c>
      <c r="C44" s="6" t="s">
        <v>596</v>
      </c>
      <c r="D44" s="6" t="s">
        <v>238</v>
      </c>
      <c r="E44" s="6" t="s">
        <v>597</v>
      </c>
      <c r="F44" s="6" t="s">
        <v>251</v>
      </c>
      <c r="G44" s="6" t="s">
        <v>318</v>
      </c>
      <c r="H44" s="6" t="s">
        <v>598</v>
      </c>
      <c r="I44" s="6" t="s">
        <v>599</v>
      </c>
      <c r="J44" s="6" t="s">
        <v>600</v>
      </c>
      <c r="K44" s="6" t="s">
        <v>601</v>
      </c>
      <c r="L44" s="6" t="s">
        <v>602</v>
      </c>
      <c r="M44" s="20" t="s">
        <v>243</v>
      </c>
      <c r="N44" s="21" t="s">
        <v>247</v>
      </c>
      <c r="O44" s="22" t="s">
        <v>256</v>
      </c>
      <c r="P44" s="4"/>
      <c r="Q44" s="4"/>
      <c r="R44" s="4"/>
      <c r="S44" s="4"/>
      <c r="T44" s="4"/>
      <c r="U44" s="4"/>
      <c r="V44" s="4"/>
      <c r="W44" s="4"/>
      <c r="X44" s="4"/>
      <c r="Y44" s="4"/>
      <c r="Z44" s="4"/>
    </row>
    <row r="45" ht="136.5" customHeight="1">
      <c r="A45" s="6" t="s">
        <v>603</v>
      </c>
      <c r="B45" s="6" t="s">
        <v>604</v>
      </c>
      <c r="C45" s="6" t="s">
        <v>605</v>
      </c>
      <c r="D45" s="6" t="s">
        <v>606</v>
      </c>
      <c r="E45" s="6" t="s">
        <v>607</v>
      </c>
      <c r="F45" s="6" t="s">
        <v>252</v>
      </c>
      <c r="G45" s="6" t="s">
        <v>608</v>
      </c>
      <c r="H45" s="6" t="s">
        <v>609</v>
      </c>
      <c r="I45" s="6" t="s">
        <v>610</v>
      </c>
      <c r="J45" s="6" t="s">
        <v>611</v>
      </c>
      <c r="K45" s="6" t="s">
        <v>612</v>
      </c>
      <c r="L45" s="6" t="s">
        <v>613</v>
      </c>
      <c r="M45" s="8" t="s">
        <v>244</v>
      </c>
      <c r="N45" s="21" t="s">
        <v>247</v>
      </c>
      <c r="O45" s="22" t="s">
        <v>256</v>
      </c>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O$45"/>
  <dataValidations>
    <dataValidation type="list" allowBlank="1" sqref="N2:N45">
      <formula1>"Not Executed,Passed,Failed,Blocked"</formula1>
    </dataValidation>
    <dataValidation type="list" allowBlank="1" sqref="M2:M45">
      <formula1>"Automation,Manual"</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0.0"/>
    <col customWidth="1" min="8" max="8" width="32.0"/>
    <col customWidth="1" min="9" max="9" width="34.0"/>
    <col customWidth="1" min="10" max="10" width="55.0"/>
    <col customWidth="1" min="11" max="11" width="45.0"/>
    <col customWidth="1" min="12" max="12" width="30.0"/>
    <col customWidth="1" min="13" max="13" width="12.0"/>
    <col customWidth="1" min="14" max="14" width="13.0"/>
    <col customWidth="1" min="15" max="15" width="14.0"/>
  </cols>
  <sheetData>
    <row r="1" ht="19.5" customHeight="1">
      <c r="A1" s="18" t="s">
        <v>264</v>
      </c>
      <c r="B1" s="18" t="s">
        <v>265</v>
      </c>
      <c r="C1" s="19" t="s">
        <v>266</v>
      </c>
      <c r="D1" s="18" t="s">
        <v>236</v>
      </c>
      <c r="E1" s="18" t="s">
        <v>267</v>
      </c>
      <c r="F1" s="18" t="s">
        <v>250</v>
      </c>
      <c r="G1" s="18" t="s">
        <v>268</v>
      </c>
      <c r="H1" s="18" t="s">
        <v>269</v>
      </c>
      <c r="I1" s="18" t="s">
        <v>270</v>
      </c>
      <c r="J1" s="18" t="s">
        <v>271</v>
      </c>
      <c r="K1" s="18" t="s">
        <v>272</v>
      </c>
      <c r="L1" s="18" t="s">
        <v>273</v>
      </c>
      <c r="M1" s="18" t="s">
        <v>242</v>
      </c>
      <c r="N1" s="18" t="s">
        <v>246</v>
      </c>
      <c r="O1" s="18" t="s">
        <v>255</v>
      </c>
      <c r="P1" s="4"/>
      <c r="Q1" s="4"/>
      <c r="R1" s="4"/>
      <c r="S1" s="4"/>
      <c r="T1" s="4"/>
      <c r="U1" s="4"/>
      <c r="V1" s="4"/>
      <c r="W1" s="4"/>
      <c r="X1" s="4"/>
      <c r="Y1" s="4"/>
      <c r="Z1" s="4"/>
    </row>
    <row r="2" ht="75.0" customHeight="1">
      <c r="A2" s="6" t="s">
        <v>614</v>
      </c>
      <c r="B2" s="6" t="s">
        <v>615</v>
      </c>
      <c r="C2" s="6" t="s">
        <v>616</v>
      </c>
      <c r="D2" s="6" t="s">
        <v>239</v>
      </c>
      <c r="E2" s="6" t="s">
        <v>277</v>
      </c>
      <c r="F2" s="6" t="s">
        <v>251</v>
      </c>
      <c r="G2" s="6" t="s">
        <v>617</v>
      </c>
      <c r="H2" s="6" t="s">
        <v>618</v>
      </c>
      <c r="I2" s="6" t="s">
        <v>14</v>
      </c>
      <c r="J2" s="6" t="s">
        <v>619</v>
      </c>
      <c r="K2" s="6" t="s">
        <v>620</v>
      </c>
      <c r="L2" s="6" t="s">
        <v>621</v>
      </c>
      <c r="M2" s="20" t="s">
        <v>243</v>
      </c>
      <c r="N2" s="21" t="s">
        <v>247</v>
      </c>
      <c r="O2" s="22" t="s">
        <v>256</v>
      </c>
      <c r="P2" s="4"/>
      <c r="Q2" s="4"/>
      <c r="R2" s="4"/>
      <c r="S2" s="4"/>
      <c r="T2" s="4"/>
      <c r="U2" s="4"/>
      <c r="V2" s="4"/>
      <c r="W2" s="4"/>
      <c r="X2" s="4"/>
      <c r="Y2" s="4"/>
      <c r="Z2" s="4"/>
    </row>
    <row r="3" ht="39.75" customHeight="1">
      <c r="A3" s="6" t="s">
        <v>622</v>
      </c>
      <c r="B3" s="6" t="s">
        <v>623</v>
      </c>
      <c r="C3" s="6" t="s">
        <v>624</v>
      </c>
      <c r="D3" s="6" t="s">
        <v>239</v>
      </c>
      <c r="E3" s="6" t="s">
        <v>277</v>
      </c>
      <c r="F3" s="6" t="s">
        <v>252</v>
      </c>
      <c r="G3" s="6" t="s">
        <v>286</v>
      </c>
      <c r="H3" s="6" t="s">
        <v>625</v>
      </c>
      <c r="I3" s="6" t="s">
        <v>14</v>
      </c>
      <c r="J3" s="6" t="s">
        <v>626</v>
      </c>
      <c r="K3" s="6" t="s">
        <v>627</v>
      </c>
      <c r="L3" s="6" t="s">
        <v>290</v>
      </c>
      <c r="M3" s="8" t="s">
        <v>244</v>
      </c>
      <c r="N3" s="21" t="s">
        <v>247</v>
      </c>
      <c r="O3" s="22" t="s">
        <v>256</v>
      </c>
      <c r="P3" s="4"/>
      <c r="Q3" s="4"/>
      <c r="R3" s="4"/>
      <c r="S3" s="4"/>
      <c r="T3" s="4"/>
      <c r="U3" s="4"/>
      <c r="V3" s="4"/>
      <c r="W3" s="4"/>
      <c r="X3" s="4"/>
      <c r="Y3" s="4"/>
      <c r="Z3" s="4"/>
    </row>
    <row r="4" ht="48.0" customHeight="1">
      <c r="A4" s="6" t="s">
        <v>628</v>
      </c>
      <c r="B4" s="6" t="s">
        <v>629</v>
      </c>
      <c r="C4" s="6" t="s">
        <v>630</v>
      </c>
      <c r="D4" s="6" t="s">
        <v>239</v>
      </c>
      <c r="E4" s="6" t="s">
        <v>277</v>
      </c>
      <c r="F4" s="6" t="s">
        <v>252</v>
      </c>
      <c r="G4" s="6" t="s">
        <v>631</v>
      </c>
      <c r="H4" s="6" t="s">
        <v>45</v>
      </c>
      <c r="I4" s="6" t="s">
        <v>22</v>
      </c>
      <c r="J4" s="6" t="s">
        <v>632</v>
      </c>
      <c r="K4" s="6" t="s">
        <v>633</v>
      </c>
      <c r="L4" s="6" t="s">
        <v>297</v>
      </c>
      <c r="M4" s="20" t="s">
        <v>243</v>
      </c>
      <c r="N4" s="21" t="s">
        <v>247</v>
      </c>
      <c r="O4" s="22" t="s">
        <v>256</v>
      </c>
      <c r="P4" s="4"/>
      <c r="Q4" s="4"/>
      <c r="R4" s="4"/>
      <c r="S4" s="4"/>
      <c r="T4" s="4"/>
      <c r="U4" s="4"/>
      <c r="V4" s="4"/>
      <c r="W4" s="4"/>
      <c r="X4" s="4"/>
      <c r="Y4" s="4"/>
      <c r="Z4" s="4"/>
    </row>
    <row r="5" ht="48.75" customHeight="1">
      <c r="A5" s="6" t="s">
        <v>634</v>
      </c>
      <c r="B5" s="6" t="s">
        <v>635</v>
      </c>
      <c r="C5" s="6" t="s">
        <v>636</v>
      </c>
      <c r="D5" s="6" t="s">
        <v>239</v>
      </c>
      <c r="E5" s="6" t="s">
        <v>301</v>
      </c>
      <c r="F5" s="6" t="s">
        <v>252</v>
      </c>
      <c r="G5" s="6" t="s">
        <v>637</v>
      </c>
      <c r="H5" s="6" t="s">
        <v>45</v>
      </c>
      <c r="I5" s="6" t="s">
        <v>638</v>
      </c>
      <c r="J5" s="6" t="s">
        <v>639</v>
      </c>
      <c r="K5" s="6" t="s">
        <v>640</v>
      </c>
      <c r="L5" s="6" t="s">
        <v>641</v>
      </c>
      <c r="M5" s="8" t="s">
        <v>244</v>
      </c>
      <c r="N5" s="21" t="s">
        <v>247</v>
      </c>
      <c r="O5" s="22" t="s">
        <v>256</v>
      </c>
      <c r="P5" s="4"/>
      <c r="Q5" s="4"/>
      <c r="R5" s="4"/>
      <c r="S5" s="4"/>
      <c r="T5" s="4"/>
      <c r="U5" s="4"/>
      <c r="V5" s="4"/>
      <c r="W5" s="4"/>
      <c r="X5" s="4"/>
      <c r="Y5" s="4"/>
      <c r="Z5" s="4"/>
    </row>
    <row r="6" ht="73.5" customHeight="1">
      <c r="A6" s="6" t="s">
        <v>642</v>
      </c>
      <c r="B6" s="6" t="s">
        <v>643</v>
      </c>
      <c r="C6" s="6" t="s">
        <v>644</v>
      </c>
      <c r="D6" s="6" t="s">
        <v>239</v>
      </c>
      <c r="E6" s="6" t="s">
        <v>645</v>
      </c>
      <c r="F6" s="6" t="s">
        <v>251</v>
      </c>
      <c r="G6" s="6" t="s">
        <v>646</v>
      </c>
      <c r="H6" s="6" t="s">
        <v>45</v>
      </c>
      <c r="I6" s="6" t="s">
        <v>27</v>
      </c>
      <c r="J6" s="6" t="s">
        <v>647</v>
      </c>
      <c r="K6" s="6" t="s">
        <v>648</v>
      </c>
      <c r="L6" s="6" t="s">
        <v>45</v>
      </c>
      <c r="M6" s="20" t="s">
        <v>243</v>
      </c>
      <c r="N6" s="21" t="s">
        <v>247</v>
      </c>
      <c r="O6" s="22" t="s">
        <v>256</v>
      </c>
      <c r="P6" s="4"/>
      <c r="Q6" s="4"/>
      <c r="R6" s="4"/>
      <c r="S6" s="4"/>
      <c r="T6" s="4"/>
      <c r="U6" s="4"/>
      <c r="V6" s="4"/>
      <c r="W6" s="4"/>
      <c r="X6" s="4"/>
      <c r="Y6" s="4"/>
      <c r="Z6" s="4"/>
    </row>
    <row r="7" ht="58.5" customHeight="1">
      <c r="A7" s="6" t="s">
        <v>649</v>
      </c>
      <c r="B7" s="6" t="s">
        <v>650</v>
      </c>
      <c r="C7" s="6" t="s">
        <v>651</v>
      </c>
      <c r="D7" s="6" t="s">
        <v>239</v>
      </c>
      <c r="E7" s="6" t="s">
        <v>645</v>
      </c>
      <c r="F7" s="6" t="s">
        <v>252</v>
      </c>
      <c r="G7" s="6" t="s">
        <v>652</v>
      </c>
      <c r="H7" s="6" t="s">
        <v>45</v>
      </c>
      <c r="I7" s="6" t="s">
        <v>27</v>
      </c>
      <c r="J7" s="6" t="s">
        <v>653</v>
      </c>
      <c r="K7" s="6" t="s">
        <v>654</v>
      </c>
      <c r="L7" s="6" t="s">
        <v>45</v>
      </c>
      <c r="M7" s="8" t="s">
        <v>244</v>
      </c>
      <c r="N7" s="21" t="s">
        <v>247</v>
      </c>
      <c r="O7" s="22" t="s">
        <v>256</v>
      </c>
      <c r="P7" s="4"/>
      <c r="Q7" s="4"/>
      <c r="R7" s="4"/>
      <c r="S7" s="4"/>
      <c r="T7" s="4"/>
      <c r="U7" s="4"/>
      <c r="V7" s="4"/>
      <c r="W7" s="4"/>
      <c r="X7" s="4"/>
      <c r="Y7" s="4"/>
      <c r="Z7" s="4"/>
    </row>
    <row r="8" ht="79.5" customHeight="1">
      <c r="A8" s="6" t="s">
        <v>655</v>
      </c>
      <c r="B8" s="6" t="s">
        <v>656</v>
      </c>
      <c r="C8" s="6" t="s">
        <v>657</v>
      </c>
      <c r="D8" s="6" t="s">
        <v>239</v>
      </c>
      <c r="E8" s="6" t="s">
        <v>658</v>
      </c>
      <c r="F8" s="6" t="s">
        <v>253</v>
      </c>
      <c r="G8" s="6" t="s">
        <v>659</v>
      </c>
      <c r="H8" s="6" t="s">
        <v>45</v>
      </c>
      <c r="I8" s="6" t="s">
        <v>660</v>
      </c>
      <c r="J8" s="6" t="s">
        <v>661</v>
      </c>
      <c r="K8" s="6" t="s">
        <v>662</v>
      </c>
      <c r="L8" s="6" t="s">
        <v>45</v>
      </c>
      <c r="M8" s="8" t="s">
        <v>244</v>
      </c>
      <c r="N8" s="21" t="s">
        <v>247</v>
      </c>
      <c r="O8" s="22" t="s">
        <v>256</v>
      </c>
      <c r="P8" s="4"/>
      <c r="Q8" s="4"/>
      <c r="R8" s="4"/>
      <c r="S8" s="4"/>
      <c r="T8" s="4"/>
      <c r="U8" s="4"/>
      <c r="V8" s="4"/>
      <c r="W8" s="4"/>
      <c r="X8" s="4"/>
      <c r="Y8" s="4"/>
      <c r="Z8" s="4"/>
    </row>
    <row r="9" ht="139.5" customHeight="1">
      <c r="A9" s="6" t="s">
        <v>663</v>
      </c>
      <c r="B9" s="6" t="s">
        <v>664</v>
      </c>
      <c r="C9" s="6" t="s">
        <v>665</v>
      </c>
      <c r="D9" s="6" t="s">
        <v>239</v>
      </c>
      <c r="E9" s="6" t="s">
        <v>666</v>
      </c>
      <c r="F9" s="6" t="s">
        <v>251</v>
      </c>
      <c r="G9" s="6" t="s">
        <v>667</v>
      </c>
      <c r="H9" s="6" t="s">
        <v>45</v>
      </c>
      <c r="I9" s="6" t="s">
        <v>668</v>
      </c>
      <c r="J9" s="6" t="s">
        <v>669</v>
      </c>
      <c r="K9" s="6" t="s">
        <v>670</v>
      </c>
      <c r="L9" s="6" t="s">
        <v>671</v>
      </c>
      <c r="M9" s="20" t="s">
        <v>243</v>
      </c>
      <c r="N9" s="21" t="s">
        <v>247</v>
      </c>
      <c r="O9" s="22" t="s">
        <v>256</v>
      </c>
      <c r="P9" s="4"/>
      <c r="Q9" s="4"/>
      <c r="R9" s="4"/>
      <c r="S9" s="4"/>
      <c r="T9" s="4"/>
      <c r="U9" s="4"/>
      <c r="V9" s="4"/>
      <c r="W9" s="4"/>
      <c r="X9" s="4"/>
      <c r="Y9" s="4"/>
      <c r="Z9" s="4"/>
    </row>
    <row r="10" ht="39.75" customHeight="1">
      <c r="A10" s="6" t="s">
        <v>672</v>
      </c>
      <c r="B10" s="6" t="s">
        <v>673</v>
      </c>
      <c r="C10" s="6" t="s">
        <v>674</v>
      </c>
      <c r="D10" s="6" t="s">
        <v>239</v>
      </c>
      <c r="E10" s="6" t="s">
        <v>666</v>
      </c>
      <c r="F10" s="6" t="s">
        <v>253</v>
      </c>
      <c r="G10" s="6" t="s">
        <v>675</v>
      </c>
      <c r="H10" s="6" t="s">
        <v>45</v>
      </c>
      <c r="I10" s="6" t="s">
        <v>676</v>
      </c>
      <c r="J10" s="6" t="s">
        <v>677</v>
      </c>
      <c r="K10" s="6" t="s">
        <v>678</v>
      </c>
      <c r="L10" s="6" t="s">
        <v>45</v>
      </c>
      <c r="M10" s="8" t="s">
        <v>244</v>
      </c>
      <c r="N10" s="21" t="s">
        <v>247</v>
      </c>
      <c r="O10" s="22" t="s">
        <v>256</v>
      </c>
      <c r="P10" s="4"/>
      <c r="Q10" s="4"/>
      <c r="R10" s="4"/>
      <c r="S10" s="4"/>
      <c r="T10" s="4"/>
      <c r="U10" s="4"/>
      <c r="V10" s="4"/>
      <c r="W10" s="4"/>
      <c r="X10" s="4"/>
      <c r="Y10" s="4"/>
      <c r="Z10" s="4"/>
    </row>
    <row r="11" ht="36.75" customHeight="1">
      <c r="A11" s="6" t="s">
        <v>679</v>
      </c>
      <c r="B11" s="6" t="s">
        <v>680</v>
      </c>
      <c r="C11" s="6" t="s">
        <v>681</v>
      </c>
      <c r="D11" s="6" t="s">
        <v>239</v>
      </c>
      <c r="E11" s="6" t="s">
        <v>666</v>
      </c>
      <c r="F11" s="6" t="s">
        <v>253</v>
      </c>
      <c r="G11" s="6" t="s">
        <v>675</v>
      </c>
      <c r="H11" s="6" t="s">
        <v>45</v>
      </c>
      <c r="I11" s="6" t="s">
        <v>676</v>
      </c>
      <c r="J11" s="6" t="s">
        <v>682</v>
      </c>
      <c r="K11" s="6" t="s">
        <v>683</v>
      </c>
      <c r="L11" s="6" t="s">
        <v>45</v>
      </c>
      <c r="M11" s="8" t="s">
        <v>244</v>
      </c>
      <c r="N11" s="21" t="s">
        <v>247</v>
      </c>
      <c r="O11" s="22" t="s">
        <v>256</v>
      </c>
      <c r="P11" s="4"/>
      <c r="Q11" s="4"/>
      <c r="R11" s="4"/>
      <c r="S11" s="4"/>
      <c r="T11" s="4"/>
      <c r="U11" s="4"/>
      <c r="V11" s="4"/>
      <c r="W11" s="4"/>
      <c r="X11" s="4"/>
      <c r="Y11" s="4"/>
      <c r="Z11" s="4"/>
    </row>
    <row r="12" ht="30.75" customHeight="1">
      <c r="A12" s="6" t="s">
        <v>684</v>
      </c>
      <c r="B12" s="6" t="s">
        <v>685</v>
      </c>
      <c r="C12" s="6" t="s">
        <v>686</v>
      </c>
      <c r="D12" s="6" t="s">
        <v>239</v>
      </c>
      <c r="E12" s="6" t="s">
        <v>666</v>
      </c>
      <c r="F12" s="6" t="s">
        <v>253</v>
      </c>
      <c r="G12" s="6" t="s">
        <v>675</v>
      </c>
      <c r="H12" s="6" t="s">
        <v>45</v>
      </c>
      <c r="I12" s="6" t="s">
        <v>676</v>
      </c>
      <c r="J12" s="6" t="s">
        <v>687</v>
      </c>
      <c r="K12" s="6" t="s">
        <v>688</v>
      </c>
      <c r="L12" s="6" t="s">
        <v>45</v>
      </c>
      <c r="M12" s="8" t="s">
        <v>244</v>
      </c>
      <c r="N12" s="21" t="s">
        <v>247</v>
      </c>
      <c r="O12" s="22" t="s">
        <v>256</v>
      </c>
      <c r="P12" s="4"/>
      <c r="Q12" s="4"/>
      <c r="R12" s="4"/>
      <c r="S12" s="4"/>
      <c r="T12" s="4"/>
      <c r="U12" s="4"/>
      <c r="V12" s="4"/>
      <c r="W12" s="4"/>
      <c r="X12" s="4"/>
      <c r="Y12" s="4"/>
      <c r="Z12" s="4"/>
    </row>
    <row r="13" ht="139.5" customHeight="1">
      <c r="A13" s="6" t="s">
        <v>689</v>
      </c>
      <c r="B13" s="6" t="s">
        <v>690</v>
      </c>
      <c r="C13" s="6" t="s">
        <v>691</v>
      </c>
      <c r="D13" s="6" t="s">
        <v>239</v>
      </c>
      <c r="E13" s="6" t="s">
        <v>692</v>
      </c>
      <c r="F13" s="6" t="s">
        <v>251</v>
      </c>
      <c r="G13" s="6" t="s">
        <v>693</v>
      </c>
      <c r="H13" s="6" t="s">
        <v>45</v>
      </c>
      <c r="I13" s="6" t="s">
        <v>694</v>
      </c>
      <c r="J13" s="6" t="s">
        <v>695</v>
      </c>
      <c r="K13" s="6" t="s">
        <v>696</v>
      </c>
      <c r="L13" s="6" t="s">
        <v>697</v>
      </c>
      <c r="M13" s="20" t="s">
        <v>243</v>
      </c>
      <c r="N13" s="21" t="s">
        <v>247</v>
      </c>
      <c r="O13" s="22" t="s">
        <v>256</v>
      </c>
      <c r="P13" s="4"/>
      <c r="Q13" s="4"/>
      <c r="R13" s="4"/>
      <c r="S13" s="4"/>
      <c r="T13" s="4"/>
      <c r="U13" s="4"/>
      <c r="V13" s="4"/>
      <c r="W13" s="4"/>
      <c r="X13" s="4"/>
      <c r="Y13" s="4"/>
      <c r="Z13" s="4"/>
    </row>
    <row r="14" ht="39.75" customHeight="1">
      <c r="A14" s="6" t="s">
        <v>698</v>
      </c>
      <c r="B14" s="6" t="s">
        <v>699</v>
      </c>
      <c r="C14" s="6" t="s">
        <v>700</v>
      </c>
      <c r="D14" s="6" t="s">
        <v>239</v>
      </c>
      <c r="E14" s="6" t="s">
        <v>692</v>
      </c>
      <c r="F14" s="6" t="s">
        <v>253</v>
      </c>
      <c r="G14" s="6" t="s">
        <v>701</v>
      </c>
      <c r="H14" s="6" t="s">
        <v>45</v>
      </c>
      <c r="I14" s="6" t="s">
        <v>702</v>
      </c>
      <c r="J14" s="6" t="s">
        <v>703</v>
      </c>
      <c r="K14" s="6" t="s">
        <v>704</v>
      </c>
      <c r="L14" s="6" t="s">
        <v>45</v>
      </c>
      <c r="M14" s="8" t="s">
        <v>244</v>
      </c>
      <c r="N14" s="21" t="s">
        <v>247</v>
      </c>
      <c r="O14" s="22" t="s">
        <v>256</v>
      </c>
      <c r="P14" s="4"/>
      <c r="Q14" s="4"/>
      <c r="R14" s="4"/>
      <c r="S14" s="4"/>
      <c r="T14" s="4"/>
      <c r="U14" s="4"/>
      <c r="V14" s="4"/>
      <c r="W14" s="4"/>
      <c r="X14" s="4"/>
      <c r="Y14" s="4"/>
      <c r="Z14" s="4"/>
    </row>
    <row r="15" ht="35.25" customHeight="1">
      <c r="A15" s="6" t="s">
        <v>705</v>
      </c>
      <c r="B15" s="6" t="s">
        <v>706</v>
      </c>
      <c r="C15" s="6" t="s">
        <v>707</v>
      </c>
      <c r="D15" s="6" t="s">
        <v>239</v>
      </c>
      <c r="E15" s="6" t="s">
        <v>708</v>
      </c>
      <c r="F15" s="6" t="s">
        <v>252</v>
      </c>
      <c r="G15" s="6" t="s">
        <v>709</v>
      </c>
      <c r="H15" s="6" t="s">
        <v>45</v>
      </c>
      <c r="I15" s="6" t="s">
        <v>710</v>
      </c>
      <c r="J15" s="6" t="s">
        <v>711</v>
      </c>
      <c r="K15" s="6" t="s">
        <v>712</v>
      </c>
      <c r="L15" s="6" t="s">
        <v>45</v>
      </c>
      <c r="M15" s="8" t="s">
        <v>244</v>
      </c>
      <c r="N15" s="21" t="s">
        <v>247</v>
      </c>
      <c r="O15" s="22" t="s">
        <v>256</v>
      </c>
      <c r="P15" s="4"/>
      <c r="Q15" s="4"/>
      <c r="R15" s="4"/>
      <c r="S15" s="4"/>
      <c r="T15" s="4"/>
      <c r="U15" s="4"/>
      <c r="V15" s="4"/>
      <c r="W15" s="4"/>
      <c r="X15" s="4"/>
      <c r="Y15" s="4"/>
      <c r="Z15" s="4"/>
    </row>
    <row r="16" ht="90.75" customHeight="1">
      <c r="A16" s="6" t="s">
        <v>713</v>
      </c>
      <c r="B16" s="6" t="s">
        <v>714</v>
      </c>
      <c r="C16" s="6" t="s">
        <v>715</v>
      </c>
      <c r="D16" s="6" t="s">
        <v>239</v>
      </c>
      <c r="E16" s="6" t="s">
        <v>708</v>
      </c>
      <c r="F16" s="6" t="s">
        <v>251</v>
      </c>
      <c r="G16" s="6" t="s">
        <v>716</v>
      </c>
      <c r="H16" s="6" t="s">
        <v>45</v>
      </c>
      <c r="I16" s="6" t="s">
        <v>710</v>
      </c>
      <c r="J16" s="6" t="s">
        <v>717</v>
      </c>
      <c r="K16" s="6" t="s">
        <v>718</v>
      </c>
      <c r="L16" s="6" t="s">
        <v>45</v>
      </c>
      <c r="M16" s="8" t="s">
        <v>244</v>
      </c>
      <c r="N16" s="21" t="s">
        <v>247</v>
      </c>
      <c r="O16" s="22" t="s">
        <v>256</v>
      </c>
      <c r="P16" s="4"/>
      <c r="Q16" s="4"/>
      <c r="R16" s="4"/>
      <c r="S16" s="4"/>
      <c r="T16" s="4"/>
      <c r="U16" s="4"/>
      <c r="V16" s="4"/>
      <c r="W16" s="4"/>
      <c r="X16" s="4"/>
      <c r="Y16" s="4"/>
      <c r="Z16" s="4"/>
    </row>
    <row r="17" ht="80.25" customHeight="1">
      <c r="A17" s="6" t="s">
        <v>719</v>
      </c>
      <c r="B17" s="6" t="s">
        <v>720</v>
      </c>
      <c r="C17" s="6" t="s">
        <v>721</v>
      </c>
      <c r="D17" s="6" t="s">
        <v>239</v>
      </c>
      <c r="E17" s="6" t="s">
        <v>708</v>
      </c>
      <c r="F17" s="6" t="s">
        <v>251</v>
      </c>
      <c r="G17" s="6" t="s">
        <v>722</v>
      </c>
      <c r="H17" s="6" t="s">
        <v>45</v>
      </c>
      <c r="I17" s="6" t="s">
        <v>710</v>
      </c>
      <c r="J17" s="6" t="s">
        <v>723</v>
      </c>
      <c r="K17" s="6" t="s">
        <v>724</v>
      </c>
      <c r="L17" s="6" t="s">
        <v>45</v>
      </c>
      <c r="M17" s="8" t="s">
        <v>244</v>
      </c>
      <c r="N17" s="21" t="s">
        <v>247</v>
      </c>
      <c r="O17" s="22" t="s">
        <v>256</v>
      </c>
      <c r="P17" s="4"/>
      <c r="Q17" s="4"/>
      <c r="R17" s="4"/>
      <c r="S17" s="4"/>
      <c r="T17" s="4"/>
      <c r="U17" s="4"/>
      <c r="V17" s="4"/>
      <c r="W17" s="4"/>
      <c r="X17" s="4"/>
      <c r="Y17" s="4"/>
      <c r="Z17" s="4"/>
    </row>
    <row r="18" ht="109.5" customHeight="1">
      <c r="A18" s="6" t="s">
        <v>725</v>
      </c>
      <c r="B18" s="6" t="s">
        <v>726</v>
      </c>
      <c r="C18" s="6" t="s">
        <v>727</v>
      </c>
      <c r="D18" s="6" t="s">
        <v>239</v>
      </c>
      <c r="E18" s="6" t="s">
        <v>728</v>
      </c>
      <c r="F18" s="6" t="s">
        <v>251</v>
      </c>
      <c r="G18" s="6" t="s">
        <v>729</v>
      </c>
      <c r="H18" s="6" t="s">
        <v>45</v>
      </c>
      <c r="I18" s="6" t="s">
        <v>730</v>
      </c>
      <c r="J18" s="6" t="s">
        <v>731</v>
      </c>
      <c r="K18" s="6" t="s">
        <v>732</v>
      </c>
      <c r="L18" s="6" t="s">
        <v>45</v>
      </c>
      <c r="M18" s="8" t="s">
        <v>244</v>
      </c>
      <c r="N18" s="21" t="s">
        <v>247</v>
      </c>
      <c r="O18" s="22" t="s">
        <v>256</v>
      </c>
      <c r="P18" s="4"/>
      <c r="Q18" s="4"/>
      <c r="R18" s="4"/>
      <c r="S18" s="4"/>
      <c r="T18" s="4"/>
      <c r="U18" s="4"/>
      <c r="V18" s="4"/>
      <c r="W18" s="4"/>
      <c r="X18" s="4"/>
      <c r="Y18" s="4"/>
      <c r="Z18" s="4"/>
    </row>
    <row r="19" ht="31.5" customHeight="1">
      <c r="A19" s="6" t="s">
        <v>733</v>
      </c>
      <c r="B19" s="6" t="s">
        <v>734</v>
      </c>
      <c r="C19" s="6" t="s">
        <v>735</v>
      </c>
      <c r="D19" s="6" t="s">
        <v>239</v>
      </c>
      <c r="E19" s="6" t="s">
        <v>728</v>
      </c>
      <c r="F19" s="6" t="s">
        <v>252</v>
      </c>
      <c r="G19" s="6" t="s">
        <v>736</v>
      </c>
      <c r="H19" s="6" t="s">
        <v>45</v>
      </c>
      <c r="I19" s="6" t="s">
        <v>737</v>
      </c>
      <c r="J19" s="6" t="s">
        <v>738</v>
      </c>
      <c r="K19" s="6" t="s">
        <v>739</v>
      </c>
      <c r="L19" s="6" t="s">
        <v>45</v>
      </c>
      <c r="M19" s="8" t="s">
        <v>244</v>
      </c>
      <c r="N19" s="21" t="s">
        <v>247</v>
      </c>
      <c r="O19" s="22" t="s">
        <v>256</v>
      </c>
      <c r="P19" s="4"/>
      <c r="Q19" s="4"/>
      <c r="R19" s="4"/>
      <c r="S19" s="4"/>
      <c r="T19" s="4"/>
      <c r="U19" s="4"/>
      <c r="V19" s="4"/>
      <c r="W19" s="4"/>
      <c r="X19" s="4"/>
      <c r="Y19" s="4"/>
      <c r="Z19" s="4"/>
    </row>
    <row r="20" ht="33.75" customHeight="1">
      <c r="A20" s="6" t="s">
        <v>740</v>
      </c>
      <c r="B20" s="6" t="s">
        <v>741</v>
      </c>
      <c r="C20" s="6" t="s">
        <v>742</v>
      </c>
      <c r="D20" s="6" t="s">
        <v>239</v>
      </c>
      <c r="E20" s="6" t="s">
        <v>728</v>
      </c>
      <c r="F20" s="6" t="s">
        <v>252</v>
      </c>
      <c r="G20" s="6" t="s">
        <v>736</v>
      </c>
      <c r="H20" s="6" t="s">
        <v>45</v>
      </c>
      <c r="I20" s="6" t="s">
        <v>544</v>
      </c>
      <c r="J20" s="6" t="s">
        <v>743</v>
      </c>
      <c r="K20" s="6" t="s">
        <v>744</v>
      </c>
      <c r="L20" s="6" t="s">
        <v>45</v>
      </c>
      <c r="M20" s="8" t="s">
        <v>244</v>
      </c>
      <c r="N20" s="21" t="s">
        <v>247</v>
      </c>
      <c r="O20" s="22" t="s">
        <v>256</v>
      </c>
      <c r="P20" s="4"/>
      <c r="Q20" s="4"/>
      <c r="R20" s="4"/>
      <c r="S20" s="4"/>
      <c r="T20" s="4"/>
      <c r="U20" s="4"/>
      <c r="V20" s="4"/>
      <c r="W20" s="4"/>
      <c r="X20" s="4"/>
      <c r="Y20" s="4"/>
      <c r="Z20" s="4"/>
    </row>
    <row r="21" ht="38.25" customHeight="1">
      <c r="A21" s="6" t="s">
        <v>745</v>
      </c>
      <c r="B21" s="6" t="s">
        <v>746</v>
      </c>
      <c r="C21" s="6" t="s">
        <v>747</v>
      </c>
      <c r="D21" s="6" t="s">
        <v>239</v>
      </c>
      <c r="E21" s="6" t="s">
        <v>728</v>
      </c>
      <c r="F21" s="6" t="s">
        <v>253</v>
      </c>
      <c r="G21" s="6" t="s">
        <v>736</v>
      </c>
      <c r="H21" s="6" t="s">
        <v>45</v>
      </c>
      <c r="I21" s="6" t="s">
        <v>343</v>
      </c>
      <c r="J21" s="6" t="s">
        <v>748</v>
      </c>
      <c r="K21" s="6" t="s">
        <v>749</v>
      </c>
      <c r="L21" s="6" t="s">
        <v>45</v>
      </c>
      <c r="M21" s="20" t="s">
        <v>243</v>
      </c>
      <c r="N21" s="21" t="s">
        <v>247</v>
      </c>
      <c r="O21" s="22" t="s">
        <v>256</v>
      </c>
      <c r="P21" s="4"/>
      <c r="Q21" s="4"/>
      <c r="R21" s="4"/>
      <c r="S21" s="4"/>
      <c r="T21" s="4"/>
      <c r="U21" s="4"/>
      <c r="V21" s="4"/>
      <c r="W21" s="4"/>
      <c r="X21" s="4"/>
      <c r="Y21" s="4"/>
      <c r="Z21" s="4"/>
    </row>
    <row r="22" ht="32.25" customHeight="1">
      <c r="A22" s="6" t="s">
        <v>750</v>
      </c>
      <c r="B22" s="6" t="s">
        <v>751</v>
      </c>
      <c r="C22" s="6" t="s">
        <v>752</v>
      </c>
      <c r="D22" s="6" t="s">
        <v>239</v>
      </c>
      <c r="E22" s="6" t="s">
        <v>728</v>
      </c>
      <c r="F22" s="6" t="s">
        <v>252</v>
      </c>
      <c r="G22" s="6" t="s">
        <v>736</v>
      </c>
      <c r="H22" s="6" t="s">
        <v>45</v>
      </c>
      <c r="I22" s="6" t="s">
        <v>753</v>
      </c>
      <c r="J22" s="6" t="s">
        <v>754</v>
      </c>
      <c r="K22" s="6" t="s">
        <v>755</v>
      </c>
      <c r="L22" s="6" t="s">
        <v>45</v>
      </c>
      <c r="M22" s="8" t="s">
        <v>244</v>
      </c>
      <c r="N22" s="21" t="s">
        <v>247</v>
      </c>
      <c r="O22" s="22" t="s">
        <v>256</v>
      </c>
      <c r="P22" s="4"/>
      <c r="Q22" s="4"/>
      <c r="R22" s="4"/>
      <c r="S22" s="4"/>
      <c r="T22" s="4"/>
      <c r="U22" s="4"/>
      <c r="V22" s="4"/>
      <c r="W22" s="4"/>
      <c r="X22" s="4"/>
      <c r="Y22" s="4"/>
      <c r="Z22" s="4"/>
    </row>
    <row r="23" ht="80.25" customHeight="1">
      <c r="A23" s="6" t="s">
        <v>756</v>
      </c>
      <c r="B23" s="6" t="s">
        <v>757</v>
      </c>
      <c r="C23" s="6" t="s">
        <v>758</v>
      </c>
      <c r="D23" s="6" t="s">
        <v>239</v>
      </c>
      <c r="E23" s="6" t="s">
        <v>759</v>
      </c>
      <c r="F23" s="6" t="s">
        <v>252</v>
      </c>
      <c r="G23" s="6" t="s">
        <v>659</v>
      </c>
      <c r="H23" s="6" t="s">
        <v>45</v>
      </c>
      <c r="I23" s="6" t="s">
        <v>760</v>
      </c>
      <c r="J23" s="6" t="s">
        <v>761</v>
      </c>
      <c r="K23" s="6" t="s">
        <v>762</v>
      </c>
      <c r="L23" s="6" t="s">
        <v>45</v>
      </c>
      <c r="M23" s="20" t="s">
        <v>243</v>
      </c>
      <c r="N23" s="21" t="s">
        <v>247</v>
      </c>
      <c r="O23" s="22" t="s">
        <v>256</v>
      </c>
      <c r="P23" s="4"/>
      <c r="Q23" s="4"/>
      <c r="R23" s="4"/>
      <c r="S23" s="4"/>
      <c r="T23" s="4"/>
      <c r="U23" s="4"/>
      <c r="V23" s="4"/>
      <c r="W23" s="4"/>
      <c r="X23" s="4"/>
      <c r="Y23" s="4"/>
      <c r="Z23" s="4"/>
    </row>
    <row r="24" ht="86.25" customHeight="1">
      <c r="A24" s="6" t="s">
        <v>763</v>
      </c>
      <c r="B24" s="6" t="s">
        <v>764</v>
      </c>
      <c r="C24" s="6" t="s">
        <v>765</v>
      </c>
      <c r="D24" s="6" t="s">
        <v>239</v>
      </c>
      <c r="E24" s="6" t="s">
        <v>766</v>
      </c>
      <c r="F24" s="6" t="s">
        <v>252</v>
      </c>
      <c r="G24" s="6" t="s">
        <v>659</v>
      </c>
      <c r="H24" s="6" t="s">
        <v>767</v>
      </c>
      <c r="I24" s="6" t="s">
        <v>768</v>
      </c>
      <c r="J24" s="6" t="s">
        <v>769</v>
      </c>
      <c r="K24" s="6" t="s">
        <v>770</v>
      </c>
      <c r="L24" s="6" t="s">
        <v>45</v>
      </c>
      <c r="M24" s="8" t="s">
        <v>244</v>
      </c>
      <c r="N24" s="21" t="s">
        <v>247</v>
      </c>
      <c r="O24" s="22" t="s">
        <v>256</v>
      </c>
      <c r="P24" s="4"/>
      <c r="Q24" s="4"/>
      <c r="R24" s="4"/>
      <c r="S24" s="4"/>
      <c r="T24" s="4"/>
      <c r="U24" s="4"/>
      <c r="V24" s="4"/>
      <c r="W24" s="4"/>
      <c r="X24" s="4"/>
      <c r="Y24" s="4"/>
      <c r="Z24" s="4"/>
    </row>
    <row r="25" ht="51.0" customHeight="1">
      <c r="A25" s="6" t="s">
        <v>771</v>
      </c>
      <c r="B25" s="6" t="s">
        <v>772</v>
      </c>
      <c r="C25" s="6" t="s">
        <v>773</v>
      </c>
      <c r="D25" s="6" t="s">
        <v>239</v>
      </c>
      <c r="E25" s="6" t="s">
        <v>766</v>
      </c>
      <c r="F25" s="6" t="s">
        <v>253</v>
      </c>
      <c r="G25" s="6" t="s">
        <v>659</v>
      </c>
      <c r="H25" s="6" t="s">
        <v>774</v>
      </c>
      <c r="I25" s="6" t="s">
        <v>775</v>
      </c>
      <c r="J25" s="6" t="s">
        <v>776</v>
      </c>
      <c r="K25" s="6" t="s">
        <v>777</v>
      </c>
      <c r="L25" s="6" t="s">
        <v>45</v>
      </c>
      <c r="M25" s="8" t="s">
        <v>244</v>
      </c>
      <c r="N25" s="21" t="s">
        <v>247</v>
      </c>
      <c r="O25" s="22" t="s">
        <v>256</v>
      </c>
      <c r="P25" s="4"/>
      <c r="Q25" s="4"/>
      <c r="R25" s="4"/>
      <c r="S25" s="4"/>
      <c r="T25" s="4"/>
      <c r="U25" s="4"/>
      <c r="V25" s="4"/>
      <c r="W25" s="4"/>
      <c r="X25" s="4"/>
      <c r="Y25" s="4"/>
      <c r="Z25" s="4"/>
    </row>
    <row r="26" ht="48.75" customHeight="1">
      <c r="A26" s="6" t="s">
        <v>778</v>
      </c>
      <c r="B26" s="6" t="s">
        <v>779</v>
      </c>
      <c r="C26" s="6" t="s">
        <v>780</v>
      </c>
      <c r="D26" s="6" t="s">
        <v>239</v>
      </c>
      <c r="E26" s="6" t="s">
        <v>781</v>
      </c>
      <c r="F26" s="6" t="s">
        <v>253</v>
      </c>
      <c r="G26" s="6" t="s">
        <v>659</v>
      </c>
      <c r="H26" s="6" t="s">
        <v>782</v>
      </c>
      <c r="I26" s="6" t="s">
        <v>783</v>
      </c>
      <c r="J26" s="6" t="s">
        <v>784</v>
      </c>
      <c r="K26" s="6" t="s">
        <v>785</v>
      </c>
      <c r="L26" s="6" t="s">
        <v>45</v>
      </c>
      <c r="M26" s="8" t="s">
        <v>244</v>
      </c>
      <c r="N26" s="21" t="s">
        <v>247</v>
      </c>
      <c r="O26" s="22" t="s">
        <v>256</v>
      </c>
      <c r="P26" s="4"/>
      <c r="Q26" s="4"/>
      <c r="R26" s="4"/>
      <c r="S26" s="4"/>
      <c r="T26" s="4"/>
      <c r="U26" s="4"/>
      <c r="V26" s="4"/>
      <c r="W26" s="4"/>
      <c r="X26" s="4"/>
      <c r="Y26" s="4"/>
      <c r="Z26" s="4"/>
    </row>
    <row r="27" ht="123.75" customHeight="1">
      <c r="A27" s="6" t="s">
        <v>786</v>
      </c>
      <c r="B27" s="6" t="s">
        <v>787</v>
      </c>
      <c r="C27" s="6" t="s">
        <v>788</v>
      </c>
      <c r="D27" s="6" t="s">
        <v>239</v>
      </c>
      <c r="E27" s="6" t="s">
        <v>789</v>
      </c>
      <c r="F27" s="6" t="s">
        <v>252</v>
      </c>
      <c r="G27" s="6" t="s">
        <v>659</v>
      </c>
      <c r="H27" s="6" t="s">
        <v>45</v>
      </c>
      <c r="I27" s="6" t="s">
        <v>790</v>
      </c>
      <c r="J27" s="6" t="s">
        <v>791</v>
      </c>
      <c r="K27" s="6" t="s">
        <v>792</v>
      </c>
      <c r="L27" s="6" t="s">
        <v>45</v>
      </c>
      <c r="M27" s="8" t="s">
        <v>244</v>
      </c>
      <c r="N27" s="21" t="s">
        <v>247</v>
      </c>
      <c r="O27" s="22" t="s">
        <v>256</v>
      </c>
      <c r="P27" s="4"/>
      <c r="Q27" s="4"/>
      <c r="R27" s="4"/>
      <c r="S27" s="4"/>
      <c r="T27" s="4"/>
      <c r="U27" s="4"/>
      <c r="V27" s="4"/>
      <c r="W27" s="4"/>
      <c r="X27" s="4"/>
      <c r="Y27" s="4"/>
      <c r="Z27" s="4"/>
    </row>
    <row r="28" ht="43.5" customHeight="1">
      <c r="A28" s="6" t="s">
        <v>793</v>
      </c>
      <c r="B28" s="6" t="s">
        <v>794</v>
      </c>
      <c r="C28" s="6" t="s">
        <v>795</v>
      </c>
      <c r="D28" s="6" t="s">
        <v>239</v>
      </c>
      <c r="E28" s="6" t="s">
        <v>796</v>
      </c>
      <c r="F28" s="6" t="s">
        <v>252</v>
      </c>
      <c r="G28" s="6" t="s">
        <v>659</v>
      </c>
      <c r="H28" s="6" t="s">
        <v>45</v>
      </c>
      <c r="I28" s="6" t="s">
        <v>797</v>
      </c>
      <c r="J28" s="6" t="s">
        <v>798</v>
      </c>
      <c r="K28" s="6" t="s">
        <v>799</v>
      </c>
      <c r="L28" s="6" t="s">
        <v>45</v>
      </c>
      <c r="M28" s="8" t="s">
        <v>244</v>
      </c>
      <c r="N28" s="21" t="s">
        <v>247</v>
      </c>
      <c r="O28" s="22" t="s">
        <v>256</v>
      </c>
      <c r="P28" s="4"/>
      <c r="Q28" s="4"/>
      <c r="R28" s="4"/>
      <c r="S28" s="4"/>
      <c r="T28" s="4"/>
      <c r="U28" s="4"/>
      <c r="V28" s="4"/>
      <c r="W28" s="4"/>
      <c r="X28" s="4"/>
      <c r="Y28" s="4"/>
      <c r="Z28" s="4"/>
    </row>
    <row r="29" ht="40.5" customHeight="1">
      <c r="A29" s="6" t="s">
        <v>800</v>
      </c>
      <c r="B29" s="6" t="s">
        <v>801</v>
      </c>
      <c r="C29" s="6" t="s">
        <v>802</v>
      </c>
      <c r="D29" s="6" t="s">
        <v>239</v>
      </c>
      <c r="E29" s="6" t="s">
        <v>803</v>
      </c>
      <c r="F29" s="6" t="s">
        <v>253</v>
      </c>
      <c r="G29" s="6" t="s">
        <v>659</v>
      </c>
      <c r="H29" s="6" t="s">
        <v>804</v>
      </c>
      <c r="I29" s="6" t="s">
        <v>805</v>
      </c>
      <c r="J29" s="6" t="s">
        <v>806</v>
      </c>
      <c r="K29" s="6" t="s">
        <v>807</v>
      </c>
      <c r="L29" s="6" t="s">
        <v>45</v>
      </c>
      <c r="M29" s="20" t="s">
        <v>243</v>
      </c>
      <c r="N29" s="21" t="s">
        <v>247</v>
      </c>
      <c r="O29" s="22" t="s">
        <v>256</v>
      </c>
      <c r="P29" s="4"/>
      <c r="Q29" s="4"/>
      <c r="R29" s="4"/>
      <c r="S29" s="4"/>
      <c r="T29" s="4"/>
      <c r="U29" s="4"/>
      <c r="V29" s="4"/>
      <c r="W29" s="4"/>
      <c r="X29" s="4"/>
      <c r="Y29" s="4"/>
      <c r="Z29" s="4"/>
    </row>
    <row r="30" ht="47.25" customHeight="1">
      <c r="A30" s="6" t="s">
        <v>808</v>
      </c>
      <c r="B30" s="6" t="s">
        <v>809</v>
      </c>
      <c r="C30" s="6" t="s">
        <v>810</v>
      </c>
      <c r="D30" s="6" t="s">
        <v>239</v>
      </c>
      <c r="E30" s="6" t="s">
        <v>811</v>
      </c>
      <c r="F30" s="6" t="s">
        <v>251</v>
      </c>
      <c r="G30" s="6" t="s">
        <v>812</v>
      </c>
      <c r="H30" s="6" t="s">
        <v>45</v>
      </c>
      <c r="I30" s="6" t="s">
        <v>813</v>
      </c>
      <c r="J30" s="6" t="s">
        <v>814</v>
      </c>
      <c r="K30" s="6" t="s">
        <v>815</v>
      </c>
      <c r="L30" s="6" t="s">
        <v>816</v>
      </c>
      <c r="M30" s="20" t="s">
        <v>243</v>
      </c>
      <c r="N30" s="21" t="s">
        <v>247</v>
      </c>
      <c r="O30" s="22" t="s">
        <v>256</v>
      </c>
      <c r="P30" s="4"/>
      <c r="Q30" s="4"/>
      <c r="R30" s="4"/>
      <c r="S30" s="4"/>
      <c r="T30" s="4"/>
      <c r="U30" s="4"/>
      <c r="V30" s="4"/>
      <c r="W30" s="4"/>
      <c r="X30" s="4"/>
      <c r="Y30" s="4"/>
      <c r="Z30" s="4"/>
    </row>
    <row r="31" ht="57.75" customHeight="1">
      <c r="A31" s="6" t="s">
        <v>817</v>
      </c>
      <c r="B31" s="6" t="s">
        <v>818</v>
      </c>
      <c r="C31" s="6" t="s">
        <v>819</v>
      </c>
      <c r="D31" s="6" t="s">
        <v>239</v>
      </c>
      <c r="E31" s="6" t="s">
        <v>820</v>
      </c>
      <c r="F31" s="6" t="s">
        <v>251</v>
      </c>
      <c r="G31" s="6" t="s">
        <v>821</v>
      </c>
      <c r="H31" s="6" t="s">
        <v>45</v>
      </c>
      <c r="I31" s="6" t="s">
        <v>822</v>
      </c>
      <c r="J31" s="6" t="s">
        <v>823</v>
      </c>
      <c r="K31" s="6" t="s">
        <v>824</v>
      </c>
      <c r="L31" s="6" t="s">
        <v>825</v>
      </c>
      <c r="M31" s="20" t="s">
        <v>243</v>
      </c>
      <c r="N31" s="21" t="s">
        <v>247</v>
      </c>
      <c r="O31" s="22" t="s">
        <v>256</v>
      </c>
      <c r="P31" s="4"/>
      <c r="Q31" s="4"/>
      <c r="R31" s="4"/>
      <c r="S31" s="4"/>
      <c r="T31" s="4"/>
      <c r="U31" s="4"/>
      <c r="V31" s="4"/>
      <c r="W31" s="4"/>
      <c r="X31" s="4"/>
      <c r="Y31" s="4"/>
      <c r="Z31" s="4"/>
    </row>
    <row r="32" ht="111.75" customHeight="1">
      <c r="A32" s="6" t="s">
        <v>826</v>
      </c>
      <c r="B32" s="6" t="s">
        <v>827</v>
      </c>
      <c r="C32" s="6" t="s">
        <v>828</v>
      </c>
      <c r="D32" s="6" t="s">
        <v>239</v>
      </c>
      <c r="E32" s="6" t="s">
        <v>502</v>
      </c>
      <c r="F32" s="6" t="s">
        <v>251</v>
      </c>
      <c r="G32" s="6" t="s">
        <v>829</v>
      </c>
      <c r="H32" s="6" t="s">
        <v>18</v>
      </c>
      <c r="I32" s="6" t="s">
        <v>830</v>
      </c>
      <c r="J32" s="6" t="s">
        <v>831</v>
      </c>
      <c r="K32" s="6" t="s">
        <v>832</v>
      </c>
      <c r="L32" s="6" t="s">
        <v>507</v>
      </c>
      <c r="M32" s="20" t="s">
        <v>243</v>
      </c>
      <c r="N32" s="21" t="s">
        <v>247</v>
      </c>
      <c r="O32" s="22" t="s">
        <v>256</v>
      </c>
      <c r="P32" s="4"/>
      <c r="Q32" s="4"/>
      <c r="R32" s="4"/>
      <c r="S32" s="4"/>
      <c r="T32" s="4"/>
      <c r="U32" s="4"/>
      <c r="V32" s="4"/>
      <c r="W32" s="4"/>
      <c r="X32" s="4"/>
      <c r="Y32" s="4"/>
      <c r="Z32" s="4"/>
    </row>
    <row r="33" ht="78.0" customHeight="1">
      <c r="A33" s="6" t="s">
        <v>833</v>
      </c>
      <c r="B33" s="6" t="s">
        <v>834</v>
      </c>
      <c r="C33" s="6" t="s">
        <v>835</v>
      </c>
      <c r="D33" s="6" t="s">
        <v>239</v>
      </c>
      <c r="E33" s="6" t="s">
        <v>502</v>
      </c>
      <c r="F33" s="6" t="s">
        <v>251</v>
      </c>
      <c r="G33" s="6" t="s">
        <v>836</v>
      </c>
      <c r="H33" s="6" t="s">
        <v>837</v>
      </c>
      <c r="I33" s="6" t="s">
        <v>838</v>
      </c>
      <c r="J33" s="6" t="s">
        <v>839</v>
      </c>
      <c r="K33" s="6" t="s">
        <v>840</v>
      </c>
      <c r="L33" s="6" t="s">
        <v>841</v>
      </c>
      <c r="M33" s="20" t="s">
        <v>243</v>
      </c>
      <c r="N33" s="21" t="s">
        <v>247</v>
      </c>
      <c r="O33" s="22" t="s">
        <v>256</v>
      </c>
      <c r="P33" s="4"/>
      <c r="Q33" s="4"/>
      <c r="R33" s="4"/>
      <c r="S33" s="4"/>
      <c r="T33" s="4"/>
      <c r="U33" s="4"/>
      <c r="V33" s="4"/>
      <c r="W33" s="4"/>
      <c r="X33" s="4"/>
      <c r="Y33" s="4"/>
      <c r="Z33" s="4"/>
    </row>
    <row r="34" ht="72.0" customHeight="1">
      <c r="A34" s="6" t="s">
        <v>842</v>
      </c>
      <c r="B34" s="6" t="s">
        <v>843</v>
      </c>
      <c r="C34" s="6" t="s">
        <v>844</v>
      </c>
      <c r="D34" s="6" t="s">
        <v>239</v>
      </c>
      <c r="E34" s="6" t="s">
        <v>845</v>
      </c>
      <c r="F34" s="6" t="s">
        <v>253</v>
      </c>
      <c r="G34" s="6" t="s">
        <v>659</v>
      </c>
      <c r="H34" s="6" t="s">
        <v>45</v>
      </c>
      <c r="I34" s="6" t="s">
        <v>846</v>
      </c>
      <c r="J34" s="6" t="s">
        <v>847</v>
      </c>
      <c r="K34" s="6" t="s">
        <v>848</v>
      </c>
      <c r="L34" s="6" t="s">
        <v>45</v>
      </c>
      <c r="M34" s="8" t="s">
        <v>244</v>
      </c>
      <c r="N34" s="21" t="s">
        <v>247</v>
      </c>
      <c r="O34" s="22" t="s">
        <v>256</v>
      </c>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O$34"/>
  <dataValidations>
    <dataValidation type="list" allowBlank="1" sqref="N2:N34">
      <formula1>"Not Executed,Passed,Failed,Blocked"</formula1>
    </dataValidation>
    <dataValidation type="list" allowBlank="1" sqref="M2:M34">
      <formula1>"Automation,Manual"</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2.43"/>
    <col customWidth="1" min="8" max="8" width="32.0"/>
    <col customWidth="1" min="9" max="9" width="34.0"/>
    <col customWidth="1" min="10" max="10" width="59.57"/>
    <col customWidth="1" min="11" max="11" width="45.0"/>
    <col customWidth="1" min="12" max="12" width="30.0"/>
    <col customWidth="1" min="13" max="13" width="17.0"/>
    <col customWidth="1" min="14" max="14" width="22.43"/>
    <col customWidth="1" min="15" max="15" width="14.0"/>
    <col customWidth="1" min="16" max="16" width="55.0"/>
    <col customWidth="1" min="17" max="17" width="59.0"/>
  </cols>
  <sheetData>
    <row r="1" ht="19.5" customHeight="1">
      <c r="A1" s="18" t="s">
        <v>264</v>
      </c>
      <c r="B1" s="18" t="s">
        <v>265</v>
      </c>
      <c r="C1" s="19" t="s">
        <v>266</v>
      </c>
      <c r="D1" s="18" t="s">
        <v>236</v>
      </c>
      <c r="E1" s="18" t="s">
        <v>267</v>
      </c>
      <c r="F1" s="18" t="s">
        <v>250</v>
      </c>
      <c r="G1" s="18" t="s">
        <v>268</v>
      </c>
      <c r="H1" s="18" t="s">
        <v>269</v>
      </c>
      <c r="I1" s="18" t="s">
        <v>270</v>
      </c>
      <c r="J1" s="18" t="s">
        <v>271</v>
      </c>
      <c r="K1" s="18" t="s">
        <v>272</v>
      </c>
      <c r="L1" s="18" t="s">
        <v>273</v>
      </c>
      <c r="M1" s="18" t="s">
        <v>242</v>
      </c>
      <c r="N1" s="18" t="s">
        <v>246</v>
      </c>
      <c r="O1" s="18" t="s">
        <v>255</v>
      </c>
      <c r="P1" s="16" t="s">
        <v>849</v>
      </c>
      <c r="Q1" s="16" t="s">
        <v>850</v>
      </c>
      <c r="R1" s="4"/>
      <c r="S1" s="4"/>
      <c r="T1" s="4"/>
      <c r="U1" s="4"/>
      <c r="V1" s="4"/>
      <c r="W1" s="4"/>
      <c r="X1" s="4"/>
      <c r="Y1" s="4"/>
      <c r="Z1" s="4"/>
    </row>
    <row r="2" ht="111.75" customHeight="1">
      <c r="A2" s="6" t="s">
        <v>851</v>
      </c>
      <c r="B2" s="6" t="s">
        <v>852</v>
      </c>
      <c r="C2" s="6" t="s">
        <v>853</v>
      </c>
      <c r="D2" s="6" t="s">
        <v>240</v>
      </c>
      <c r="E2" s="6" t="s">
        <v>277</v>
      </c>
      <c r="F2" s="6" t="s">
        <v>251</v>
      </c>
      <c r="G2" s="6" t="s">
        <v>854</v>
      </c>
      <c r="H2" s="6" t="s">
        <v>855</v>
      </c>
      <c r="I2" s="6" t="s">
        <v>856</v>
      </c>
      <c r="J2" s="6" t="s">
        <v>857</v>
      </c>
      <c r="K2" s="6" t="s">
        <v>858</v>
      </c>
      <c r="L2" s="6" t="s">
        <v>859</v>
      </c>
      <c r="M2" s="20" t="s">
        <v>243</v>
      </c>
      <c r="N2" s="21" t="s">
        <v>247</v>
      </c>
      <c r="O2" s="23" t="s">
        <v>257</v>
      </c>
      <c r="P2" s="6" t="s">
        <v>860</v>
      </c>
      <c r="Q2" s="6" t="s">
        <v>861</v>
      </c>
      <c r="R2" s="4"/>
      <c r="S2" s="4"/>
      <c r="T2" s="4"/>
      <c r="U2" s="4"/>
      <c r="V2" s="4"/>
      <c r="W2" s="4"/>
      <c r="X2" s="4"/>
      <c r="Y2" s="4"/>
      <c r="Z2" s="4"/>
    </row>
    <row r="3" ht="39.75" hidden="1" customHeight="1">
      <c r="A3" s="6" t="s">
        <v>862</v>
      </c>
      <c r="B3" s="6" t="s">
        <v>863</v>
      </c>
      <c r="C3" s="6" t="s">
        <v>864</v>
      </c>
      <c r="D3" s="6" t="s">
        <v>240</v>
      </c>
      <c r="E3" s="6" t="s">
        <v>277</v>
      </c>
      <c r="F3" s="6" t="s">
        <v>252</v>
      </c>
      <c r="G3" s="6" t="s">
        <v>286</v>
      </c>
      <c r="H3" s="6" t="s">
        <v>865</v>
      </c>
      <c r="I3" s="6" t="s">
        <v>14</v>
      </c>
      <c r="J3" s="6" t="s">
        <v>866</v>
      </c>
      <c r="K3" s="6" t="s">
        <v>867</v>
      </c>
      <c r="L3" s="6" t="s">
        <v>290</v>
      </c>
      <c r="M3" s="8" t="s">
        <v>244</v>
      </c>
      <c r="N3" s="21" t="s">
        <v>247</v>
      </c>
      <c r="O3" s="23" t="s">
        <v>257</v>
      </c>
      <c r="P3" s="6" t="s">
        <v>868</v>
      </c>
      <c r="Q3" s="6" t="s">
        <v>861</v>
      </c>
      <c r="R3" s="4"/>
      <c r="S3" s="4"/>
      <c r="T3" s="4"/>
      <c r="U3" s="4"/>
      <c r="V3" s="4"/>
      <c r="W3" s="4"/>
      <c r="X3" s="4"/>
      <c r="Y3" s="4"/>
      <c r="Z3" s="4"/>
    </row>
    <row r="4" ht="42.75" customHeight="1">
      <c r="A4" s="6" t="s">
        <v>869</v>
      </c>
      <c r="B4" s="6" t="s">
        <v>870</v>
      </c>
      <c r="C4" s="6" t="s">
        <v>871</v>
      </c>
      <c r="D4" s="6" t="s">
        <v>240</v>
      </c>
      <c r="E4" s="6" t="s">
        <v>277</v>
      </c>
      <c r="F4" s="6" t="s">
        <v>252</v>
      </c>
      <c r="G4" s="6" t="s">
        <v>872</v>
      </c>
      <c r="H4" s="6" t="s">
        <v>45</v>
      </c>
      <c r="I4" s="6" t="s">
        <v>22</v>
      </c>
      <c r="J4" s="6" t="s">
        <v>873</v>
      </c>
      <c r="K4" s="6" t="s">
        <v>874</v>
      </c>
      <c r="L4" s="6" t="s">
        <v>297</v>
      </c>
      <c r="M4" s="20" t="s">
        <v>243</v>
      </c>
      <c r="N4" s="21" t="s">
        <v>247</v>
      </c>
      <c r="O4" s="23" t="s">
        <v>257</v>
      </c>
      <c r="P4" s="6" t="s">
        <v>875</v>
      </c>
      <c r="Q4" s="6" t="s">
        <v>861</v>
      </c>
      <c r="R4" s="4"/>
      <c r="S4" s="4"/>
      <c r="T4" s="4"/>
      <c r="U4" s="4"/>
      <c r="V4" s="4"/>
      <c r="W4" s="4"/>
      <c r="X4" s="4"/>
      <c r="Y4" s="4"/>
      <c r="Z4" s="4"/>
    </row>
    <row r="5" ht="45.0" hidden="1" customHeight="1">
      <c r="A5" s="6" t="s">
        <v>876</v>
      </c>
      <c r="B5" s="6" t="s">
        <v>877</v>
      </c>
      <c r="C5" s="6" t="s">
        <v>878</v>
      </c>
      <c r="D5" s="6" t="s">
        <v>240</v>
      </c>
      <c r="E5" s="6" t="s">
        <v>301</v>
      </c>
      <c r="F5" s="6" t="s">
        <v>252</v>
      </c>
      <c r="G5" s="6" t="s">
        <v>879</v>
      </c>
      <c r="H5" s="6" t="s">
        <v>45</v>
      </c>
      <c r="I5" s="6" t="s">
        <v>880</v>
      </c>
      <c r="J5" s="6" t="s">
        <v>881</v>
      </c>
      <c r="K5" s="6" t="s">
        <v>882</v>
      </c>
      <c r="L5" s="6" t="s">
        <v>883</v>
      </c>
      <c r="M5" s="8" t="s">
        <v>244</v>
      </c>
      <c r="N5" s="21" t="s">
        <v>247</v>
      </c>
      <c r="O5" s="23" t="s">
        <v>257</v>
      </c>
      <c r="P5" s="6" t="s">
        <v>884</v>
      </c>
      <c r="Q5" s="6" t="s">
        <v>885</v>
      </c>
      <c r="R5" s="4"/>
      <c r="S5" s="4"/>
      <c r="T5" s="4"/>
      <c r="U5" s="4"/>
      <c r="V5" s="4"/>
      <c r="W5" s="4"/>
      <c r="X5" s="4"/>
      <c r="Y5" s="4"/>
      <c r="Z5" s="4"/>
    </row>
    <row r="6" ht="48.0" customHeight="1">
      <c r="A6" s="6" t="s">
        <v>886</v>
      </c>
      <c r="B6" s="6" t="s">
        <v>887</v>
      </c>
      <c r="C6" s="6" t="s">
        <v>888</v>
      </c>
      <c r="D6" s="6" t="s">
        <v>240</v>
      </c>
      <c r="E6" s="6" t="s">
        <v>889</v>
      </c>
      <c r="F6" s="6" t="s">
        <v>251</v>
      </c>
      <c r="G6" s="6" t="s">
        <v>890</v>
      </c>
      <c r="H6" s="6" t="s">
        <v>891</v>
      </c>
      <c r="I6" s="6" t="s">
        <v>892</v>
      </c>
      <c r="J6" s="6" t="s">
        <v>893</v>
      </c>
      <c r="K6" s="6" t="s">
        <v>894</v>
      </c>
      <c r="L6" s="6" t="s">
        <v>45</v>
      </c>
      <c r="M6" s="20" t="s">
        <v>243</v>
      </c>
      <c r="N6" s="21" t="s">
        <v>247</v>
      </c>
      <c r="O6" s="23" t="s">
        <v>257</v>
      </c>
      <c r="P6" s="6" t="s">
        <v>895</v>
      </c>
      <c r="Q6" s="6" t="s">
        <v>896</v>
      </c>
      <c r="R6" s="4"/>
      <c r="S6" s="4"/>
      <c r="T6" s="4"/>
      <c r="U6" s="4"/>
      <c r="V6" s="4"/>
      <c r="W6" s="4"/>
      <c r="X6" s="4"/>
      <c r="Y6" s="4"/>
      <c r="Z6" s="4"/>
    </row>
    <row r="7" ht="45.75" customHeight="1">
      <c r="A7" s="6" t="s">
        <v>897</v>
      </c>
      <c r="B7" s="6" t="s">
        <v>898</v>
      </c>
      <c r="C7" s="6" t="s">
        <v>899</v>
      </c>
      <c r="D7" s="6" t="s">
        <v>240</v>
      </c>
      <c r="E7" s="6" t="s">
        <v>900</v>
      </c>
      <c r="F7" s="6" t="s">
        <v>251</v>
      </c>
      <c r="G7" s="6" t="s">
        <v>901</v>
      </c>
      <c r="H7" s="6" t="s">
        <v>45</v>
      </c>
      <c r="I7" s="6" t="s">
        <v>902</v>
      </c>
      <c r="J7" s="6" t="s">
        <v>903</v>
      </c>
      <c r="K7" s="6" t="s">
        <v>904</v>
      </c>
      <c r="L7" s="6" t="s">
        <v>45</v>
      </c>
      <c r="M7" s="20" t="s">
        <v>243</v>
      </c>
      <c r="N7" s="21" t="s">
        <v>247</v>
      </c>
      <c r="O7" s="23" t="s">
        <v>257</v>
      </c>
      <c r="P7" s="6" t="s">
        <v>905</v>
      </c>
      <c r="Q7" s="6" t="s">
        <v>861</v>
      </c>
      <c r="R7" s="4"/>
      <c r="S7" s="4"/>
      <c r="T7" s="4"/>
      <c r="U7" s="4"/>
      <c r="V7" s="4"/>
      <c r="W7" s="4"/>
      <c r="X7" s="4"/>
      <c r="Y7" s="4"/>
      <c r="Z7" s="4"/>
    </row>
    <row r="8" ht="138.0" customHeight="1">
      <c r="A8" s="6" t="s">
        <v>906</v>
      </c>
      <c r="B8" s="6" t="s">
        <v>907</v>
      </c>
      <c r="C8" s="6" t="s">
        <v>908</v>
      </c>
      <c r="D8" s="6" t="s">
        <v>240</v>
      </c>
      <c r="E8" s="6" t="s">
        <v>909</v>
      </c>
      <c r="F8" s="6" t="s">
        <v>251</v>
      </c>
      <c r="G8" s="6" t="s">
        <v>910</v>
      </c>
      <c r="H8" s="24" t="s">
        <v>911</v>
      </c>
      <c r="I8" s="25" t="s">
        <v>912</v>
      </c>
      <c r="J8" s="6" t="s">
        <v>913</v>
      </c>
      <c r="K8" s="6" t="s">
        <v>914</v>
      </c>
      <c r="L8" s="6" t="s">
        <v>915</v>
      </c>
      <c r="M8" s="20" t="s">
        <v>243</v>
      </c>
      <c r="N8" s="21" t="s">
        <v>247</v>
      </c>
      <c r="O8" s="23" t="s">
        <v>257</v>
      </c>
      <c r="P8" s="6" t="s">
        <v>916</v>
      </c>
      <c r="Q8" s="6"/>
      <c r="R8" s="4"/>
      <c r="S8" s="4"/>
      <c r="T8" s="4"/>
      <c r="U8" s="4"/>
      <c r="V8" s="4"/>
      <c r="W8" s="4"/>
      <c r="X8" s="4"/>
      <c r="Y8" s="4"/>
      <c r="Z8" s="4"/>
    </row>
    <row r="9" ht="45.75" hidden="1" customHeight="1">
      <c r="A9" s="6" t="s">
        <v>917</v>
      </c>
      <c r="B9" s="6" t="s">
        <v>918</v>
      </c>
      <c r="C9" s="6" t="s">
        <v>919</v>
      </c>
      <c r="D9" s="6" t="s">
        <v>240</v>
      </c>
      <c r="E9" s="6" t="s">
        <v>909</v>
      </c>
      <c r="F9" s="6" t="s">
        <v>252</v>
      </c>
      <c r="G9" s="6" t="s">
        <v>910</v>
      </c>
      <c r="H9" s="26" t="s">
        <v>920</v>
      </c>
      <c r="I9" s="25" t="s">
        <v>912</v>
      </c>
      <c r="J9" s="6" t="s">
        <v>921</v>
      </c>
      <c r="K9" s="6" t="s">
        <v>922</v>
      </c>
      <c r="L9" s="6" t="s">
        <v>45</v>
      </c>
      <c r="M9" s="8" t="s">
        <v>244</v>
      </c>
      <c r="N9" s="21" t="s">
        <v>247</v>
      </c>
      <c r="O9" s="23" t="s">
        <v>257</v>
      </c>
      <c r="P9" s="6" t="s">
        <v>923</v>
      </c>
      <c r="Q9" s="6" t="s">
        <v>924</v>
      </c>
      <c r="R9" s="4"/>
      <c r="S9" s="4"/>
      <c r="T9" s="4"/>
      <c r="U9" s="4"/>
      <c r="V9" s="4"/>
      <c r="W9" s="4"/>
      <c r="X9" s="4"/>
      <c r="Y9" s="4"/>
      <c r="Z9" s="4"/>
    </row>
    <row r="10" ht="36.75" hidden="1" customHeight="1">
      <c r="A10" s="6" t="s">
        <v>925</v>
      </c>
      <c r="B10" s="6" t="s">
        <v>926</v>
      </c>
      <c r="C10" s="6" t="s">
        <v>927</v>
      </c>
      <c r="D10" s="6" t="s">
        <v>240</v>
      </c>
      <c r="E10" s="6" t="s">
        <v>928</v>
      </c>
      <c r="F10" s="6" t="s">
        <v>252</v>
      </c>
      <c r="G10" s="6" t="s">
        <v>929</v>
      </c>
      <c r="H10" s="6" t="s">
        <v>930</v>
      </c>
      <c r="I10" s="6" t="s">
        <v>931</v>
      </c>
      <c r="J10" s="6" t="s">
        <v>932</v>
      </c>
      <c r="K10" s="6" t="s">
        <v>933</v>
      </c>
      <c r="L10" s="6" t="s">
        <v>45</v>
      </c>
      <c r="M10" s="8" t="s">
        <v>244</v>
      </c>
      <c r="N10" s="21" t="s">
        <v>247</v>
      </c>
      <c r="O10" s="23" t="s">
        <v>257</v>
      </c>
      <c r="P10" s="27" t="s">
        <v>934</v>
      </c>
      <c r="Q10" s="6"/>
      <c r="R10" s="4"/>
      <c r="S10" s="4"/>
      <c r="T10" s="4"/>
      <c r="U10" s="4"/>
      <c r="V10" s="4"/>
      <c r="W10" s="4"/>
      <c r="X10" s="4"/>
      <c r="Y10" s="4"/>
      <c r="Z10" s="4"/>
    </row>
    <row r="11" ht="43.5" hidden="1" customHeight="1">
      <c r="A11" s="6" t="s">
        <v>935</v>
      </c>
      <c r="B11" s="6" t="s">
        <v>936</v>
      </c>
      <c r="C11" s="6" t="s">
        <v>937</v>
      </c>
      <c r="D11" s="6" t="s">
        <v>240</v>
      </c>
      <c r="E11" s="6" t="s">
        <v>928</v>
      </c>
      <c r="F11" s="6" t="s">
        <v>252</v>
      </c>
      <c r="G11" s="6" t="s">
        <v>929</v>
      </c>
      <c r="H11" s="6" t="s">
        <v>938</v>
      </c>
      <c r="I11" s="6" t="s">
        <v>931</v>
      </c>
      <c r="J11" s="27" t="s">
        <v>939</v>
      </c>
      <c r="K11" s="6" t="s">
        <v>940</v>
      </c>
      <c r="L11" s="6" t="s">
        <v>45</v>
      </c>
      <c r="M11" s="8" t="s">
        <v>244</v>
      </c>
      <c r="N11" s="21" t="s">
        <v>247</v>
      </c>
      <c r="O11" s="23" t="s">
        <v>257</v>
      </c>
      <c r="P11" s="27" t="s">
        <v>941</v>
      </c>
      <c r="Q11" s="6"/>
      <c r="R11" s="4"/>
      <c r="S11" s="4"/>
      <c r="T11" s="4"/>
      <c r="U11" s="4"/>
      <c r="V11" s="4"/>
      <c r="W11" s="4"/>
      <c r="X11" s="4"/>
      <c r="Y11" s="4"/>
      <c r="Z11" s="4"/>
    </row>
    <row r="12" ht="63.0" hidden="1" customHeight="1">
      <c r="A12" s="6" t="s">
        <v>942</v>
      </c>
      <c r="B12" s="6" t="s">
        <v>943</v>
      </c>
      <c r="C12" s="6" t="s">
        <v>944</v>
      </c>
      <c r="D12" s="6" t="s">
        <v>240</v>
      </c>
      <c r="E12" s="6" t="s">
        <v>928</v>
      </c>
      <c r="F12" s="6" t="s">
        <v>253</v>
      </c>
      <c r="G12" s="27" t="s">
        <v>945</v>
      </c>
      <c r="H12" s="6" t="s">
        <v>45</v>
      </c>
      <c r="I12" s="28" t="s">
        <v>946</v>
      </c>
      <c r="J12" s="6" t="s">
        <v>947</v>
      </c>
      <c r="K12" s="6" t="s">
        <v>948</v>
      </c>
      <c r="L12" s="6" t="s">
        <v>45</v>
      </c>
      <c r="M12" s="8" t="s">
        <v>244</v>
      </c>
      <c r="N12" s="21" t="s">
        <v>247</v>
      </c>
      <c r="O12" s="23" t="s">
        <v>257</v>
      </c>
      <c r="P12" s="6" t="s">
        <v>949</v>
      </c>
      <c r="Q12" s="6" t="s">
        <v>950</v>
      </c>
      <c r="R12" s="4"/>
      <c r="S12" s="4"/>
      <c r="T12" s="4"/>
      <c r="U12" s="4"/>
      <c r="V12" s="4"/>
      <c r="W12" s="4"/>
      <c r="X12" s="4"/>
      <c r="Y12" s="4"/>
      <c r="Z12" s="4"/>
    </row>
    <row r="13" ht="97.5" customHeight="1">
      <c r="A13" s="6" t="s">
        <v>951</v>
      </c>
      <c r="B13" s="6" t="s">
        <v>952</v>
      </c>
      <c r="C13" s="6" t="s">
        <v>953</v>
      </c>
      <c r="D13" s="6" t="s">
        <v>240</v>
      </c>
      <c r="E13" s="6" t="s">
        <v>954</v>
      </c>
      <c r="F13" s="6" t="s">
        <v>251</v>
      </c>
      <c r="G13" s="6" t="s">
        <v>955</v>
      </c>
      <c r="H13" s="26" t="s">
        <v>956</v>
      </c>
      <c r="I13" s="26" t="s">
        <v>957</v>
      </c>
      <c r="J13" s="6" t="s">
        <v>958</v>
      </c>
      <c r="K13" s="6" t="s">
        <v>959</v>
      </c>
      <c r="L13" s="6" t="s">
        <v>960</v>
      </c>
      <c r="M13" s="20" t="s">
        <v>243</v>
      </c>
      <c r="N13" s="21" t="s">
        <v>247</v>
      </c>
      <c r="O13" s="23" t="s">
        <v>257</v>
      </c>
      <c r="P13" s="6" t="s">
        <v>961</v>
      </c>
      <c r="Q13" s="6" t="s">
        <v>861</v>
      </c>
      <c r="R13" s="4"/>
      <c r="S13" s="4"/>
      <c r="T13" s="4"/>
      <c r="U13" s="4"/>
      <c r="V13" s="4"/>
      <c r="W13" s="4"/>
      <c r="X13" s="4"/>
      <c r="Y13" s="4"/>
      <c r="Z13" s="4"/>
    </row>
    <row r="14" ht="107.25" customHeight="1">
      <c r="A14" s="6" t="s">
        <v>962</v>
      </c>
      <c r="B14" s="6" t="s">
        <v>963</v>
      </c>
      <c r="C14" s="6" t="s">
        <v>964</v>
      </c>
      <c r="D14" s="6" t="s">
        <v>240</v>
      </c>
      <c r="E14" s="6" t="s">
        <v>954</v>
      </c>
      <c r="F14" s="6" t="s">
        <v>251</v>
      </c>
      <c r="G14" s="6" t="s">
        <v>965</v>
      </c>
      <c r="H14" s="6" t="s">
        <v>966</v>
      </c>
      <c r="I14" s="6" t="s">
        <v>967</v>
      </c>
      <c r="J14" s="6" t="s">
        <v>968</v>
      </c>
      <c r="K14" s="6" t="s">
        <v>969</v>
      </c>
      <c r="L14" s="6" t="s">
        <v>960</v>
      </c>
      <c r="M14" s="20" t="s">
        <v>243</v>
      </c>
      <c r="N14" s="21" t="s">
        <v>247</v>
      </c>
      <c r="O14" s="23" t="s">
        <v>257</v>
      </c>
      <c r="P14" s="6" t="s">
        <v>970</v>
      </c>
      <c r="Q14" s="6" t="s">
        <v>971</v>
      </c>
      <c r="R14" s="4"/>
      <c r="S14" s="4"/>
      <c r="T14" s="4"/>
      <c r="U14" s="4"/>
      <c r="V14" s="4"/>
      <c r="W14" s="4"/>
      <c r="X14" s="4"/>
      <c r="Y14" s="4"/>
      <c r="Z14" s="4"/>
    </row>
    <row r="15" ht="108.75" hidden="1" customHeight="1">
      <c r="A15" s="6" t="s">
        <v>972</v>
      </c>
      <c r="B15" s="6" t="s">
        <v>973</v>
      </c>
      <c r="C15" s="6" t="s">
        <v>974</v>
      </c>
      <c r="D15" s="6" t="s">
        <v>240</v>
      </c>
      <c r="E15" s="6" t="s">
        <v>954</v>
      </c>
      <c r="F15" s="6" t="s">
        <v>252</v>
      </c>
      <c r="G15" s="6" t="s">
        <v>975</v>
      </c>
      <c r="H15" s="6" t="s">
        <v>976</v>
      </c>
      <c r="I15" s="6" t="s">
        <v>977</v>
      </c>
      <c r="J15" s="6" t="s">
        <v>978</v>
      </c>
      <c r="K15" s="6" t="s">
        <v>979</v>
      </c>
      <c r="L15" s="6" t="s">
        <v>960</v>
      </c>
      <c r="M15" s="8" t="s">
        <v>244</v>
      </c>
      <c r="N15" s="21" t="s">
        <v>247</v>
      </c>
      <c r="O15" s="23" t="s">
        <v>257</v>
      </c>
      <c r="P15" s="6" t="s">
        <v>980</v>
      </c>
      <c r="Q15" s="6" t="s">
        <v>861</v>
      </c>
      <c r="R15" s="4"/>
      <c r="S15" s="4"/>
      <c r="T15" s="4"/>
      <c r="U15" s="4"/>
      <c r="V15" s="4"/>
      <c r="W15" s="4"/>
      <c r="X15" s="4"/>
      <c r="Y15" s="4"/>
      <c r="Z15" s="4"/>
    </row>
    <row r="16" ht="69.0" hidden="1" customHeight="1">
      <c r="A16" s="6" t="s">
        <v>981</v>
      </c>
      <c r="B16" s="6" t="s">
        <v>982</v>
      </c>
      <c r="C16" s="6" t="s">
        <v>983</v>
      </c>
      <c r="D16" s="6" t="s">
        <v>240</v>
      </c>
      <c r="E16" s="6" t="s">
        <v>954</v>
      </c>
      <c r="F16" s="6" t="s">
        <v>252</v>
      </c>
      <c r="G16" s="6" t="s">
        <v>984</v>
      </c>
      <c r="H16" s="26" t="s">
        <v>985</v>
      </c>
      <c r="I16" s="26" t="s">
        <v>957</v>
      </c>
      <c r="J16" s="6" t="s">
        <v>986</v>
      </c>
      <c r="K16" s="6" t="s">
        <v>987</v>
      </c>
      <c r="L16" s="6" t="s">
        <v>960</v>
      </c>
      <c r="M16" s="8" t="s">
        <v>244</v>
      </c>
      <c r="N16" s="21" t="s">
        <v>247</v>
      </c>
      <c r="O16" s="23" t="s">
        <v>257</v>
      </c>
      <c r="P16" s="6" t="s">
        <v>988</v>
      </c>
      <c r="Q16" s="6" t="s">
        <v>989</v>
      </c>
      <c r="R16" s="4"/>
      <c r="S16" s="4"/>
      <c r="T16" s="4"/>
      <c r="U16" s="4"/>
      <c r="V16" s="4"/>
      <c r="W16" s="4"/>
      <c r="X16" s="4"/>
      <c r="Y16" s="4"/>
      <c r="Z16" s="4"/>
    </row>
    <row r="17" ht="92.25" hidden="1" customHeight="1">
      <c r="A17" s="6" t="s">
        <v>990</v>
      </c>
      <c r="B17" s="6" t="s">
        <v>991</v>
      </c>
      <c r="C17" s="6" t="s">
        <v>992</v>
      </c>
      <c r="D17" s="6" t="s">
        <v>240</v>
      </c>
      <c r="E17" s="6" t="s">
        <v>954</v>
      </c>
      <c r="F17" s="6" t="s">
        <v>252</v>
      </c>
      <c r="G17" s="6" t="s">
        <v>993</v>
      </c>
      <c r="H17" s="6" t="s">
        <v>994</v>
      </c>
      <c r="I17" s="6" t="s">
        <v>995</v>
      </c>
      <c r="J17" s="6" t="s">
        <v>996</v>
      </c>
      <c r="K17" s="6" t="s">
        <v>997</v>
      </c>
      <c r="L17" s="6" t="s">
        <v>960</v>
      </c>
      <c r="M17" s="8" t="s">
        <v>244</v>
      </c>
      <c r="N17" s="21" t="s">
        <v>247</v>
      </c>
      <c r="O17" s="23" t="s">
        <v>257</v>
      </c>
      <c r="P17" s="6" t="s">
        <v>998</v>
      </c>
      <c r="Q17" s="6"/>
      <c r="R17" s="4"/>
      <c r="S17" s="4"/>
      <c r="T17" s="4"/>
      <c r="U17" s="4"/>
      <c r="V17" s="4"/>
      <c r="W17" s="4"/>
      <c r="X17" s="4"/>
      <c r="Y17" s="4"/>
      <c r="Z17" s="4"/>
    </row>
    <row r="18" ht="84.75" customHeight="1">
      <c r="A18" s="29" t="s">
        <v>999</v>
      </c>
      <c r="B18" s="6" t="s">
        <v>1000</v>
      </c>
      <c r="C18" s="6" t="s">
        <v>1001</v>
      </c>
      <c r="D18" s="6" t="s">
        <v>240</v>
      </c>
      <c r="E18" s="6" t="s">
        <v>1002</v>
      </c>
      <c r="F18" s="6" t="s">
        <v>251</v>
      </c>
      <c r="G18" s="6" t="s">
        <v>1003</v>
      </c>
      <c r="H18" s="26" t="s">
        <v>1004</v>
      </c>
      <c r="I18" s="26" t="s">
        <v>957</v>
      </c>
      <c r="J18" s="6" t="s">
        <v>1005</v>
      </c>
      <c r="K18" s="6" t="s">
        <v>1006</v>
      </c>
      <c r="L18" s="6" t="s">
        <v>960</v>
      </c>
      <c r="M18" s="20" t="s">
        <v>243</v>
      </c>
      <c r="N18" s="21" t="s">
        <v>247</v>
      </c>
      <c r="O18" s="23" t="s">
        <v>257</v>
      </c>
      <c r="P18" s="6" t="s">
        <v>1007</v>
      </c>
      <c r="Q18" s="6" t="s">
        <v>1008</v>
      </c>
      <c r="R18" s="4"/>
      <c r="S18" s="4"/>
      <c r="T18" s="4"/>
      <c r="U18" s="4"/>
      <c r="V18" s="4"/>
      <c r="W18" s="4"/>
      <c r="X18" s="4"/>
      <c r="Y18" s="4"/>
      <c r="Z18" s="4"/>
    </row>
    <row r="19" ht="111.75" customHeight="1">
      <c r="A19" s="30" t="s">
        <v>1009</v>
      </c>
      <c r="B19" s="6" t="s">
        <v>1010</v>
      </c>
      <c r="C19" s="6" t="s">
        <v>1011</v>
      </c>
      <c r="D19" s="6" t="s">
        <v>240</v>
      </c>
      <c r="E19" s="6" t="s">
        <v>1002</v>
      </c>
      <c r="F19" s="6" t="s">
        <v>252</v>
      </c>
      <c r="G19" s="6" t="s">
        <v>1003</v>
      </c>
      <c r="H19" s="6" t="s">
        <v>1012</v>
      </c>
      <c r="I19" s="6" t="s">
        <v>1013</v>
      </c>
      <c r="J19" s="6" t="s">
        <v>1014</v>
      </c>
      <c r="K19" s="6" t="s">
        <v>1015</v>
      </c>
      <c r="L19" s="6" t="s">
        <v>960</v>
      </c>
      <c r="M19" s="20" t="s">
        <v>243</v>
      </c>
      <c r="N19" s="21" t="s">
        <v>247</v>
      </c>
      <c r="O19" s="23" t="s">
        <v>257</v>
      </c>
      <c r="P19" s="6" t="s">
        <v>1016</v>
      </c>
      <c r="Q19" s="6" t="s">
        <v>1017</v>
      </c>
      <c r="R19" s="4"/>
      <c r="S19" s="4"/>
      <c r="T19" s="4"/>
      <c r="U19" s="4"/>
      <c r="V19" s="4"/>
      <c r="W19" s="4"/>
      <c r="X19" s="4"/>
      <c r="Y19" s="4"/>
      <c r="Z19" s="4"/>
    </row>
    <row r="20" ht="75.0" hidden="1" customHeight="1">
      <c r="A20" s="6" t="s">
        <v>1018</v>
      </c>
      <c r="B20" s="6" t="s">
        <v>1019</v>
      </c>
      <c r="C20" s="6" t="s">
        <v>1020</v>
      </c>
      <c r="D20" s="6" t="s">
        <v>240</v>
      </c>
      <c r="E20" s="6" t="s">
        <v>1002</v>
      </c>
      <c r="F20" s="6" t="s">
        <v>252</v>
      </c>
      <c r="G20" s="6" t="s">
        <v>1021</v>
      </c>
      <c r="H20" s="26" t="s">
        <v>1022</v>
      </c>
      <c r="I20" s="26" t="s">
        <v>1023</v>
      </c>
      <c r="J20" s="6" t="s">
        <v>1024</v>
      </c>
      <c r="K20" s="6" t="s">
        <v>1025</v>
      </c>
      <c r="L20" s="6" t="s">
        <v>960</v>
      </c>
      <c r="M20" s="8" t="s">
        <v>244</v>
      </c>
      <c r="N20" s="21" t="s">
        <v>247</v>
      </c>
      <c r="O20" s="23" t="s">
        <v>257</v>
      </c>
      <c r="P20" s="6" t="s">
        <v>1026</v>
      </c>
      <c r="Q20" s="6"/>
      <c r="R20" s="4"/>
      <c r="S20" s="4"/>
      <c r="T20" s="4"/>
      <c r="U20" s="4"/>
      <c r="V20" s="4"/>
      <c r="W20" s="4"/>
      <c r="X20" s="4"/>
      <c r="Y20" s="4"/>
      <c r="Z20" s="4"/>
    </row>
    <row r="21" ht="119.25" customHeight="1">
      <c r="A21" s="30" t="s">
        <v>1027</v>
      </c>
      <c r="B21" s="6" t="s">
        <v>1028</v>
      </c>
      <c r="C21" s="6" t="s">
        <v>1029</v>
      </c>
      <c r="D21" s="6" t="s">
        <v>240</v>
      </c>
      <c r="E21" s="6" t="s">
        <v>1002</v>
      </c>
      <c r="F21" s="6" t="s">
        <v>251</v>
      </c>
      <c r="G21" s="6" t="s">
        <v>1030</v>
      </c>
      <c r="H21" s="26" t="s">
        <v>1031</v>
      </c>
      <c r="I21" s="26" t="s">
        <v>1032</v>
      </c>
      <c r="J21" s="6" t="s">
        <v>1033</v>
      </c>
      <c r="K21" s="6" t="s">
        <v>1034</v>
      </c>
      <c r="L21" s="6" t="s">
        <v>960</v>
      </c>
      <c r="M21" s="20" t="s">
        <v>243</v>
      </c>
      <c r="N21" s="21" t="s">
        <v>247</v>
      </c>
      <c r="O21" s="23" t="s">
        <v>257</v>
      </c>
      <c r="P21" s="6" t="s">
        <v>1035</v>
      </c>
      <c r="Q21" s="6" t="s">
        <v>1036</v>
      </c>
      <c r="R21" s="4"/>
      <c r="S21" s="4"/>
      <c r="T21" s="4"/>
      <c r="U21" s="4"/>
      <c r="V21" s="4"/>
      <c r="W21" s="4"/>
      <c r="X21" s="4"/>
      <c r="Y21" s="4"/>
      <c r="Z21" s="4"/>
    </row>
    <row r="22" ht="99.0" hidden="1" customHeight="1">
      <c r="A22" s="6" t="s">
        <v>1037</v>
      </c>
      <c r="B22" s="6" t="s">
        <v>1038</v>
      </c>
      <c r="C22" s="6" t="s">
        <v>1039</v>
      </c>
      <c r="D22" s="6" t="s">
        <v>240</v>
      </c>
      <c r="E22" s="6" t="s">
        <v>1002</v>
      </c>
      <c r="F22" s="6" t="s">
        <v>253</v>
      </c>
      <c r="G22" s="6" t="s">
        <v>1003</v>
      </c>
      <c r="H22" s="6" t="s">
        <v>1040</v>
      </c>
      <c r="I22" s="6" t="s">
        <v>995</v>
      </c>
      <c r="J22" s="6" t="s">
        <v>1041</v>
      </c>
      <c r="K22" s="6" t="s">
        <v>1042</v>
      </c>
      <c r="L22" s="6" t="s">
        <v>960</v>
      </c>
      <c r="M22" s="8" t="s">
        <v>244</v>
      </c>
      <c r="N22" s="21" t="s">
        <v>248</v>
      </c>
      <c r="O22" s="23" t="s">
        <v>257</v>
      </c>
      <c r="P22" s="6" t="s">
        <v>1043</v>
      </c>
      <c r="Q22" s="6" t="s">
        <v>1044</v>
      </c>
      <c r="R22" s="4"/>
      <c r="S22" s="4"/>
      <c r="T22" s="4"/>
      <c r="U22" s="4"/>
      <c r="V22" s="4"/>
      <c r="W22" s="4"/>
      <c r="X22" s="4"/>
      <c r="Y22" s="4"/>
      <c r="Z22" s="4"/>
    </row>
    <row r="23" ht="89.25" hidden="1" customHeight="1">
      <c r="A23" s="6" t="s">
        <v>1045</v>
      </c>
      <c r="B23" s="6" t="s">
        <v>1046</v>
      </c>
      <c r="C23" s="6" t="s">
        <v>1047</v>
      </c>
      <c r="D23" s="6" t="s">
        <v>240</v>
      </c>
      <c r="E23" s="6" t="s">
        <v>1002</v>
      </c>
      <c r="F23" s="6" t="s">
        <v>253</v>
      </c>
      <c r="G23" s="6" t="s">
        <v>1048</v>
      </c>
      <c r="H23" s="6" t="s">
        <v>1049</v>
      </c>
      <c r="I23" s="6" t="s">
        <v>1013</v>
      </c>
      <c r="J23" s="6" t="s">
        <v>1050</v>
      </c>
      <c r="K23" s="6" t="s">
        <v>1051</v>
      </c>
      <c r="L23" s="6" t="s">
        <v>960</v>
      </c>
      <c r="M23" s="8" t="s">
        <v>244</v>
      </c>
      <c r="N23" s="21" t="s">
        <v>247</v>
      </c>
      <c r="O23" s="23" t="s">
        <v>257</v>
      </c>
      <c r="P23" s="6" t="s">
        <v>1052</v>
      </c>
      <c r="Q23" s="6" t="s">
        <v>861</v>
      </c>
      <c r="R23" s="4"/>
      <c r="S23" s="4"/>
      <c r="T23" s="4"/>
      <c r="U23" s="4"/>
      <c r="V23" s="4"/>
      <c r="W23" s="4"/>
      <c r="X23" s="4"/>
      <c r="Y23" s="4"/>
      <c r="Z23" s="4"/>
    </row>
    <row r="24" ht="110.25" hidden="1" customHeight="1">
      <c r="A24" s="31" t="s">
        <v>1053</v>
      </c>
      <c r="B24" s="6" t="s">
        <v>1054</v>
      </c>
      <c r="C24" s="6" t="s">
        <v>1055</v>
      </c>
      <c r="D24" s="6" t="s">
        <v>240</v>
      </c>
      <c r="E24" s="6" t="s">
        <v>1056</v>
      </c>
      <c r="F24" s="6" t="s">
        <v>252</v>
      </c>
      <c r="G24" s="6" t="s">
        <v>1057</v>
      </c>
      <c r="H24" s="26" t="s">
        <v>1058</v>
      </c>
      <c r="I24" s="26" t="s">
        <v>1059</v>
      </c>
      <c r="J24" s="6" t="s">
        <v>1060</v>
      </c>
      <c r="K24" s="6" t="s">
        <v>1061</v>
      </c>
      <c r="L24" s="6" t="s">
        <v>960</v>
      </c>
      <c r="M24" s="8" t="s">
        <v>244</v>
      </c>
      <c r="N24" s="21" t="s">
        <v>248</v>
      </c>
      <c r="O24" s="32" t="s">
        <v>259</v>
      </c>
      <c r="P24" s="6" t="s">
        <v>1062</v>
      </c>
      <c r="Q24" s="6" t="s">
        <v>1063</v>
      </c>
      <c r="R24" s="4"/>
      <c r="S24" s="4"/>
      <c r="T24" s="4"/>
      <c r="U24" s="4"/>
      <c r="V24" s="4"/>
      <c r="W24" s="4"/>
      <c r="X24" s="4"/>
      <c r="Y24" s="4"/>
      <c r="Z24" s="4"/>
    </row>
    <row r="25" ht="73.5" hidden="1" customHeight="1">
      <c r="A25" s="31" t="s">
        <v>1064</v>
      </c>
      <c r="B25" s="6" t="s">
        <v>1065</v>
      </c>
      <c r="C25" s="6" t="s">
        <v>1066</v>
      </c>
      <c r="D25" s="6" t="s">
        <v>240</v>
      </c>
      <c r="E25" s="6" t="s">
        <v>1056</v>
      </c>
      <c r="F25" s="6" t="s">
        <v>252</v>
      </c>
      <c r="G25" s="6" t="s">
        <v>1067</v>
      </c>
      <c r="H25" s="6" t="s">
        <v>1068</v>
      </c>
      <c r="I25" s="6" t="s">
        <v>1013</v>
      </c>
      <c r="J25" s="6" t="s">
        <v>1069</v>
      </c>
      <c r="K25" s="6" t="s">
        <v>1070</v>
      </c>
      <c r="L25" s="6" t="s">
        <v>960</v>
      </c>
      <c r="M25" s="8" t="s">
        <v>244</v>
      </c>
      <c r="N25" s="21" t="s">
        <v>248</v>
      </c>
      <c r="O25" s="32" t="s">
        <v>259</v>
      </c>
      <c r="P25" s="6" t="s">
        <v>1071</v>
      </c>
      <c r="Q25" s="6" t="s">
        <v>1072</v>
      </c>
      <c r="R25" s="4"/>
      <c r="S25" s="4"/>
      <c r="T25" s="4"/>
      <c r="U25" s="4"/>
      <c r="V25" s="4"/>
      <c r="W25" s="4"/>
      <c r="X25" s="4"/>
      <c r="Y25" s="4"/>
      <c r="Z25" s="4"/>
    </row>
    <row r="26" ht="72.0" hidden="1" customHeight="1">
      <c r="A26" s="31" t="s">
        <v>1073</v>
      </c>
      <c r="B26" s="6" t="s">
        <v>1074</v>
      </c>
      <c r="C26" s="6" t="s">
        <v>1075</v>
      </c>
      <c r="D26" s="6" t="s">
        <v>240</v>
      </c>
      <c r="E26" s="6" t="s">
        <v>1056</v>
      </c>
      <c r="F26" s="6" t="s">
        <v>253</v>
      </c>
      <c r="G26" s="6" t="s">
        <v>1076</v>
      </c>
      <c r="H26" s="6" t="s">
        <v>1077</v>
      </c>
      <c r="I26" s="6" t="s">
        <v>1013</v>
      </c>
      <c r="J26" s="6" t="s">
        <v>1078</v>
      </c>
      <c r="K26" s="6" t="s">
        <v>1079</v>
      </c>
      <c r="L26" s="6" t="s">
        <v>960</v>
      </c>
      <c r="M26" s="8" t="s">
        <v>244</v>
      </c>
      <c r="N26" s="21" t="s">
        <v>248</v>
      </c>
      <c r="O26" s="32" t="s">
        <v>259</v>
      </c>
      <c r="P26" s="6" t="s">
        <v>1080</v>
      </c>
      <c r="Q26" s="6" t="s">
        <v>1081</v>
      </c>
      <c r="R26" s="4"/>
      <c r="S26" s="4"/>
      <c r="T26" s="4"/>
      <c r="U26" s="4"/>
      <c r="V26" s="4"/>
      <c r="W26" s="4"/>
      <c r="X26" s="4"/>
      <c r="Y26" s="4"/>
      <c r="Z26" s="4"/>
    </row>
    <row r="27" ht="79.5" hidden="1" customHeight="1">
      <c r="A27" s="31" t="s">
        <v>1082</v>
      </c>
      <c r="B27" s="6" t="s">
        <v>1083</v>
      </c>
      <c r="C27" s="6" t="s">
        <v>1084</v>
      </c>
      <c r="D27" s="6" t="s">
        <v>240</v>
      </c>
      <c r="E27" s="6" t="s">
        <v>1056</v>
      </c>
      <c r="F27" s="6" t="s">
        <v>253</v>
      </c>
      <c r="G27" s="6" t="s">
        <v>1085</v>
      </c>
      <c r="H27" s="6" t="s">
        <v>1086</v>
      </c>
      <c r="I27" s="6" t="s">
        <v>1013</v>
      </c>
      <c r="J27" s="6" t="s">
        <v>1087</v>
      </c>
      <c r="K27" s="6" t="s">
        <v>1088</v>
      </c>
      <c r="L27" s="6" t="s">
        <v>960</v>
      </c>
      <c r="M27" s="8" t="s">
        <v>244</v>
      </c>
      <c r="N27" s="21" t="s">
        <v>248</v>
      </c>
      <c r="O27" s="32" t="s">
        <v>259</v>
      </c>
      <c r="P27" s="6" t="s">
        <v>1089</v>
      </c>
      <c r="Q27" s="6" t="s">
        <v>1090</v>
      </c>
      <c r="R27" s="4"/>
      <c r="S27" s="4"/>
      <c r="T27" s="4"/>
      <c r="U27" s="4"/>
      <c r="V27" s="4"/>
      <c r="W27" s="4"/>
      <c r="X27" s="4"/>
      <c r="Y27" s="4"/>
      <c r="Z27" s="4"/>
    </row>
    <row r="28" ht="100.5" customHeight="1">
      <c r="A28" s="6" t="s">
        <v>1091</v>
      </c>
      <c r="B28" s="6" t="s">
        <v>1092</v>
      </c>
      <c r="C28" s="6" t="s">
        <v>1093</v>
      </c>
      <c r="D28" s="6" t="s">
        <v>240</v>
      </c>
      <c r="E28" s="6" t="s">
        <v>1094</v>
      </c>
      <c r="F28" s="6" t="s">
        <v>251</v>
      </c>
      <c r="G28" s="6" t="s">
        <v>955</v>
      </c>
      <c r="H28" s="6" t="s">
        <v>1095</v>
      </c>
      <c r="I28" s="6" t="s">
        <v>1013</v>
      </c>
      <c r="J28" s="6" t="s">
        <v>1096</v>
      </c>
      <c r="K28" s="6" t="s">
        <v>1097</v>
      </c>
      <c r="L28" s="6" t="s">
        <v>960</v>
      </c>
      <c r="M28" s="20" t="s">
        <v>243</v>
      </c>
      <c r="N28" s="21" t="s">
        <v>247</v>
      </c>
      <c r="O28" s="23" t="s">
        <v>257</v>
      </c>
      <c r="P28" s="6" t="s">
        <v>1098</v>
      </c>
      <c r="Q28" s="6" t="s">
        <v>861</v>
      </c>
      <c r="R28" s="4"/>
      <c r="S28" s="4"/>
      <c r="T28" s="4"/>
      <c r="U28" s="4"/>
      <c r="V28" s="4"/>
      <c r="W28" s="4"/>
      <c r="X28" s="4"/>
      <c r="Y28" s="4"/>
      <c r="Z28" s="4"/>
    </row>
    <row r="29" ht="137.25" customHeight="1">
      <c r="A29" s="6" t="s">
        <v>1099</v>
      </c>
      <c r="B29" s="6" t="s">
        <v>1100</v>
      </c>
      <c r="C29" s="6" t="s">
        <v>1101</v>
      </c>
      <c r="D29" s="6" t="s">
        <v>240</v>
      </c>
      <c r="E29" s="6" t="s">
        <v>1094</v>
      </c>
      <c r="F29" s="6" t="s">
        <v>251</v>
      </c>
      <c r="G29" s="6" t="s">
        <v>1102</v>
      </c>
      <c r="H29" s="6" t="s">
        <v>1103</v>
      </c>
      <c r="I29" s="6" t="s">
        <v>1013</v>
      </c>
      <c r="J29" s="6" t="s">
        <v>1104</v>
      </c>
      <c r="K29" s="6" t="s">
        <v>1105</v>
      </c>
      <c r="L29" s="6" t="s">
        <v>960</v>
      </c>
      <c r="M29" s="20" t="s">
        <v>243</v>
      </c>
      <c r="N29" s="21" t="s">
        <v>247</v>
      </c>
      <c r="O29" s="23" t="s">
        <v>257</v>
      </c>
      <c r="P29" s="6" t="s">
        <v>1106</v>
      </c>
      <c r="Q29" s="6" t="s">
        <v>861</v>
      </c>
      <c r="R29" s="4"/>
      <c r="S29" s="4"/>
      <c r="T29" s="4"/>
      <c r="U29" s="4"/>
      <c r="V29" s="4"/>
      <c r="W29" s="4"/>
      <c r="X29" s="4"/>
      <c r="Y29" s="4"/>
      <c r="Z29" s="4"/>
    </row>
    <row r="30" ht="139.5" hidden="1" customHeight="1">
      <c r="A30" s="6" t="s">
        <v>1107</v>
      </c>
      <c r="B30" s="6" t="s">
        <v>1108</v>
      </c>
      <c r="C30" s="6" t="s">
        <v>1109</v>
      </c>
      <c r="D30" s="6" t="s">
        <v>240</v>
      </c>
      <c r="E30" s="6" t="s">
        <v>1094</v>
      </c>
      <c r="F30" s="6" t="s">
        <v>251</v>
      </c>
      <c r="G30" s="6" t="s">
        <v>1110</v>
      </c>
      <c r="H30" s="6" t="s">
        <v>1111</v>
      </c>
      <c r="I30" s="6" t="s">
        <v>1013</v>
      </c>
      <c r="J30" s="6" t="s">
        <v>1112</v>
      </c>
      <c r="K30" s="6" t="s">
        <v>1113</v>
      </c>
      <c r="L30" s="6" t="s">
        <v>960</v>
      </c>
      <c r="M30" s="8" t="s">
        <v>244</v>
      </c>
      <c r="N30" s="21" t="s">
        <v>247</v>
      </c>
      <c r="O30" s="32" t="s">
        <v>259</v>
      </c>
      <c r="P30" s="6" t="s">
        <v>1114</v>
      </c>
      <c r="Q30" s="6" t="s">
        <v>1115</v>
      </c>
      <c r="R30" s="4"/>
      <c r="S30" s="4"/>
      <c r="T30" s="4"/>
      <c r="U30" s="4"/>
      <c r="V30" s="4"/>
      <c r="W30" s="4"/>
      <c r="X30" s="4"/>
      <c r="Y30" s="4"/>
      <c r="Z30" s="4"/>
    </row>
    <row r="31" ht="139.5" hidden="1" customHeight="1">
      <c r="A31" s="6" t="s">
        <v>1116</v>
      </c>
      <c r="B31" s="6" t="s">
        <v>1117</v>
      </c>
      <c r="C31" s="6" t="s">
        <v>1118</v>
      </c>
      <c r="D31" s="6" t="s">
        <v>240</v>
      </c>
      <c r="E31" s="6" t="s">
        <v>1094</v>
      </c>
      <c r="F31" s="6" t="s">
        <v>252</v>
      </c>
      <c r="G31" s="6" t="s">
        <v>1119</v>
      </c>
      <c r="H31" s="6" t="s">
        <v>1120</v>
      </c>
      <c r="I31" s="6" t="s">
        <v>1013</v>
      </c>
      <c r="J31" s="6" t="s">
        <v>1121</v>
      </c>
      <c r="K31" s="6" t="s">
        <v>1122</v>
      </c>
      <c r="L31" s="6" t="s">
        <v>960</v>
      </c>
      <c r="M31" s="8" t="s">
        <v>244</v>
      </c>
      <c r="N31" s="21" t="s">
        <v>247</v>
      </c>
      <c r="O31" s="23" t="s">
        <v>257</v>
      </c>
      <c r="P31" s="6" t="s">
        <v>1123</v>
      </c>
      <c r="Q31" s="6" t="s">
        <v>861</v>
      </c>
      <c r="R31" s="4"/>
      <c r="S31" s="4"/>
      <c r="T31" s="4"/>
      <c r="U31" s="4"/>
      <c r="V31" s="4"/>
      <c r="W31" s="4"/>
      <c r="X31" s="4"/>
      <c r="Y31" s="4"/>
      <c r="Z31" s="4"/>
    </row>
    <row r="32" ht="139.5" customHeight="1">
      <c r="A32" s="6" t="s">
        <v>1124</v>
      </c>
      <c r="B32" s="6" t="s">
        <v>1125</v>
      </c>
      <c r="C32" s="6" t="s">
        <v>1126</v>
      </c>
      <c r="D32" s="6" t="s">
        <v>240</v>
      </c>
      <c r="E32" s="6" t="s">
        <v>1127</v>
      </c>
      <c r="F32" s="6" t="s">
        <v>251</v>
      </c>
      <c r="G32" s="6" t="s">
        <v>1128</v>
      </c>
      <c r="H32" s="6" t="s">
        <v>1129</v>
      </c>
      <c r="I32" s="6" t="s">
        <v>1013</v>
      </c>
      <c r="J32" s="6" t="s">
        <v>1130</v>
      </c>
      <c r="K32" s="6" t="s">
        <v>1131</v>
      </c>
      <c r="L32" s="6" t="s">
        <v>960</v>
      </c>
      <c r="M32" s="20" t="s">
        <v>243</v>
      </c>
      <c r="N32" s="21" t="s">
        <v>247</v>
      </c>
      <c r="O32" s="32" t="s">
        <v>259</v>
      </c>
      <c r="P32" s="6" t="s">
        <v>1132</v>
      </c>
      <c r="Q32" s="6" t="s">
        <v>1133</v>
      </c>
      <c r="R32" s="4"/>
      <c r="S32" s="4"/>
      <c r="T32" s="4"/>
      <c r="U32" s="4"/>
      <c r="V32" s="4"/>
      <c r="W32" s="4"/>
      <c r="X32" s="4"/>
      <c r="Y32" s="4"/>
      <c r="Z32" s="4"/>
    </row>
    <row r="33" ht="139.5" hidden="1" customHeight="1">
      <c r="A33" s="6" t="s">
        <v>1134</v>
      </c>
      <c r="B33" s="6" t="s">
        <v>1135</v>
      </c>
      <c r="C33" s="6" t="s">
        <v>1136</v>
      </c>
      <c r="D33" s="6" t="s">
        <v>240</v>
      </c>
      <c r="E33" s="6" t="s">
        <v>1127</v>
      </c>
      <c r="F33" s="6" t="s">
        <v>252</v>
      </c>
      <c r="G33" s="6" t="s">
        <v>1128</v>
      </c>
      <c r="H33" s="6" t="s">
        <v>1137</v>
      </c>
      <c r="I33" s="6" t="s">
        <v>1013</v>
      </c>
      <c r="J33" s="6" t="s">
        <v>1138</v>
      </c>
      <c r="K33" s="6" t="s">
        <v>1139</v>
      </c>
      <c r="L33" s="6" t="s">
        <v>960</v>
      </c>
      <c r="M33" s="8" t="s">
        <v>244</v>
      </c>
      <c r="N33" s="21" t="s">
        <v>247</v>
      </c>
      <c r="O33" s="32" t="s">
        <v>259</v>
      </c>
      <c r="P33" s="6" t="s">
        <v>1140</v>
      </c>
      <c r="Q33" s="6" t="s">
        <v>1133</v>
      </c>
      <c r="R33" s="4"/>
      <c r="S33" s="4"/>
      <c r="T33" s="4"/>
      <c r="U33" s="4"/>
      <c r="V33" s="4"/>
      <c r="W33" s="4"/>
      <c r="X33" s="4"/>
      <c r="Y33" s="4"/>
      <c r="Z33" s="4"/>
    </row>
    <row r="34" ht="126.0" hidden="1" customHeight="1">
      <c r="A34" s="6" t="s">
        <v>1141</v>
      </c>
      <c r="B34" s="6" t="s">
        <v>1142</v>
      </c>
      <c r="C34" s="6" t="s">
        <v>1143</v>
      </c>
      <c r="D34" s="6" t="s">
        <v>240</v>
      </c>
      <c r="E34" s="6" t="s">
        <v>1127</v>
      </c>
      <c r="F34" s="6" t="s">
        <v>252</v>
      </c>
      <c r="G34" s="6" t="s">
        <v>1128</v>
      </c>
      <c r="H34" s="6" t="s">
        <v>1144</v>
      </c>
      <c r="I34" s="6" t="s">
        <v>1145</v>
      </c>
      <c r="J34" s="6" t="s">
        <v>1146</v>
      </c>
      <c r="K34" s="6" t="s">
        <v>1147</v>
      </c>
      <c r="L34" s="6" t="s">
        <v>960</v>
      </c>
      <c r="M34" s="8" t="s">
        <v>244</v>
      </c>
      <c r="N34" s="21" t="s">
        <v>247</v>
      </c>
      <c r="O34" s="23" t="s">
        <v>257</v>
      </c>
      <c r="P34" s="6" t="s">
        <v>1148</v>
      </c>
      <c r="Q34" s="6" t="s">
        <v>1149</v>
      </c>
      <c r="R34" s="4"/>
      <c r="S34" s="4"/>
      <c r="T34" s="4"/>
      <c r="U34" s="4"/>
      <c r="V34" s="4"/>
      <c r="W34" s="4"/>
      <c r="X34" s="4"/>
      <c r="Y34" s="4"/>
      <c r="Z34" s="4"/>
    </row>
    <row r="35" ht="137.25" hidden="1" customHeight="1">
      <c r="A35" s="6" t="s">
        <v>1150</v>
      </c>
      <c r="B35" s="6" t="s">
        <v>1151</v>
      </c>
      <c r="C35" s="6" t="s">
        <v>1152</v>
      </c>
      <c r="D35" s="6" t="s">
        <v>240</v>
      </c>
      <c r="E35" s="6" t="s">
        <v>1127</v>
      </c>
      <c r="F35" s="6" t="s">
        <v>253</v>
      </c>
      <c r="G35" s="6" t="s">
        <v>1128</v>
      </c>
      <c r="H35" s="28" t="s">
        <v>1153</v>
      </c>
      <c r="I35" s="28" t="s">
        <v>1154</v>
      </c>
      <c r="J35" s="6" t="s">
        <v>1155</v>
      </c>
      <c r="K35" s="27" t="s">
        <v>1156</v>
      </c>
      <c r="L35" s="6" t="s">
        <v>960</v>
      </c>
      <c r="M35" s="8" t="s">
        <v>244</v>
      </c>
      <c r="N35" s="21" t="s">
        <v>247</v>
      </c>
      <c r="O35" s="23" t="s">
        <v>257</v>
      </c>
      <c r="P35" s="27" t="s">
        <v>1157</v>
      </c>
      <c r="Q35" s="6" t="s">
        <v>1158</v>
      </c>
      <c r="R35" s="4"/>
      <c r="S35" s="4"/>
      <c r="T35" s="4"/>
      <c r="U35" s="4"/>
      <c r="V35" s="4"/>
      <c r="W35" s="4"/>
      <c r="X35" s="4"/>
      <c r="Y35" s="4"/>
      <c r="Z35" s="4"/>
    </row>
    <row r="36" ht="139.5" customHeight="1">
      <c r="A36" s="6" t="s">
        <v>1159</v>
      </c>
      <c r="B36" s="6" t="s">
        <v>1160</v>
      </c>
      <c r="C36" s="6" t="s">
        <v>1161</v>
      </c>
      <c r="D36" s="6" t="s">
        <v>240</v>
      </c>
      <c r="E36" s="6" t="s">
        <v>1127</v>
      </c>
      <c r="F36" s="6" t="s">
        <v>253</v>
      </c>
      <c r="G36" s="6" t="s">
        <v>1128</v>
      </c>
      <c r="H36" s="33" t="s">
        <v>1145</v>
      </c>
      <c r="I36" s="34"/>
      <c r="J36" s="27" t="s">
        <v>1170</v>
      </c>
      <c r="K36" s="6" t="s">
        <v>1171</v>
      </c>
      <c r="L36" s="6" t="s">
        <v>960</v>
      </c>
      <c r="M36" s="20" t="s">
        <v>243</v>
      </c>
      <c r="N36" s="21" t="s">
        <v>247</v>
      </c>
      <c r="O36" s="23" t="s">
        <v>257</v>
      </c>
      <c r="P36" s="27" t="s">
        <v>1171</v>
      </c>
      <c r="Q36" s="6" t="s">
        <v>1176</v>
      </c>
      <c r="R36" s="4"/>
      <c r="S36" s="4"/>
      <c r="T36" s="4"/>
      <c r="U36" s="4"/>
      <c r="V36" s="4"/>
      <c r="W36" s="4"/>
      <c r="X36" s="4"/>
      <c r="Y36" s="4"/>
      <c r="Z36" s="4"/>
    </row>
    <row r="37" ht="125.25" customHeight="1">
      <c r="A37" s="6" t="s">
        <v>1181</v>
      </c>
      <c r="B37" s="6" t="s">
        <v>1182</v>
      </c>
      <c r="C37" s="6" t="s">
        <v>1183</v>
      </c>
      <c r="D37" s="6" t="s">
        <v>240</v>
      </c>
      <c r="E37" s="6" t="s">
        <v>1184</v>
      </c>
      <c r="F37" s="6" t="s">
        <v>252</v>
      </c>
      <c r="G37" s="6" t="s">
        <v>1185</v>
      </c>
      <c r="H37" s="6" t="s">
        <v>1188</v>
      </c>
      <c r="I37" s="6"/>
      <c r="J37" s="6" t="s">
        <v>1190</v>
      </c>
      <c r="K37" s="6" t="s">
        <v>1192</v>
      </c>
      <c r="L37" s="6" t="s">
        <v>960</v>
      </c>
      <c r="M37" s="20" t="s">
        <v>243</v>
      </c>
      <c r="N37" s="21" t="s">
        <v>247</v>
      </c>
      <c r="O37" s="23" t="s">
        <v>257</v>
      </c>
      <c r="P37" s="6" t="s">
        <v>1196</v>
      </c>
      <c r="Q37" s="6" t="s">
        <v>861</v>
      </c>
      <c r="R37" s="4"/>
      <c r="S37" s="4"/>
      <c r="T37" s="4"/>
      <c r="U37" s="4"/>
      <c r="V37" s="4"/>
      <c r="W37" s="4"/>
      <c r="X37" s="4"/>
      <c r="Y37" s="4"/>
      <c r="Z37" s="4"/>
    </row>
    <row r="38" ht="87.75" hidden="1" customHeight="1">
      <c r="A38" s="6" t="s">
        <v>1200</v>
      </c>
      <c r="B38" s="6" t="s">
        <v>1202</v>
      </c>
      <c r="C38" s="27" t="s">
        <v>1204</v>
      </c>
      <c r="D38" s="6" t="s">
        <v>240</v>
      </c>
      <c r="E38" s="6" t="s">
        <v>1184</v>
      </c>
      <c r="F38" s="6" t="s">
        <v>252</v>
      </c>
      <c r="G38" s="6" t="s">
        <v>1208</v>
      </c>
      <c r="H38" s="27" t="s">
        <v>1209</v>
      </c>
      <c r="I38" s="33" t="s">
        <v>70</v>
      </c>
      <c r="J38" s="27" t="s">
        <v>1210</v>
      </c>
      <c r="K38" s="27" t="s">
        <v>1213</v>
      </c>
      <c r="L38" s="6" t="s">
        <v>960</v>
      </c>
      <c r="M38" s="8" t="s">
        <v>244</v>
      </c>
      <c r="N38" s="21" t="s">
        <v>247</v>
      </c>
      <c r="O38" s="23" t="s">
        <v>257</v>
      </c>
      <c r="P38" s="6"/>
      <c r="Q38" s="6" t="s">
        <v>1220</v>
      </c>
      <c r="R38" s="4"/>
      <c r="S38" s="4"/>
      <c r="T38" s="4"/>
      <c r="U38" s="4"/>
      <c r="V38" s="4"/>
      <c r="W38" s="4"/>
      <c r="X38" s="4"/>
      <c r="Y38" s="4"/>
      <c r="Z38" s="4"/>
    </row>
    <row r="39" ht="68.25" hidden="1" customHeight="1">
      <c r="A39" s="6" t="s">
        <v>1221</v>
      </c>
      <c r="B39" s="6" t="s">
        <v>1222</v>
      </c>
      <c r="C39" s="6" t="s">
        <v>1225</v>
      </c>
      <c r="D39" s="6" t="s">
        <v>240</v>
      </c>
      <c r="E39" s="6" t="s">
        <v>1184</v>
      </c>
      <c r="F39" s="6" t="s">
        <v>253</v>
      </c>
      <c r="G39" s="6" t="s">
        <v>1185</v>
      </c>
      <c r="H39" s="6" t="s">
        <v>1230</v>
      </c>
      <c r="I39" s="24" t="s">
        <v>70</v>
      </c>
      <c r="J39" s="6" t="s">
        <v>1233</v>
      </c>
      <c r="K39" s="6" t="s">
        <v>1234</v>
      </c>
      <c r="L39" s="6" t="s">
        <v>960</v>
      </c>
      <c r="M39" s="8" t="s">
        <v>244</v>
      </c>
      <c r="N39" s="21" t="s">
        <v>247</v>
      </c>
      <c r="O39" s="36" t="s">
        <v>258</v>
      </c>
      <c r="P39" s="6" t="s">
        <v>1239</v>
      </c>
      <c r="Q39" s="6" t="s">
        <v>1241</v>
      </c>
      <c r="R39" s="4"/>
      <c r="S39" s="4"/>
      <c r="T39" s="4"/>
      <c r="U39" s="4"/>
      <c r="V39" s="4"/>
      <c r="W39" s="4"/>
      <c r="X39" s="4"/>
      <c r="Y39" s="4"/>
      <c r="Z39" s="4"/>
    </row>
    <row r="40" ht="139.5" hidden="1" customHeight="1">
      <c r="A40" s="6" t="s">
        <v>1244</v>
      </c>
      <c r="B40" s="6" t="s">
        <v>1245</v>
      </c>
      <c r="C40" s="6" t="s">
        <v>1246</v>
      </c>
      <c r="D40" s="6" t="s">
        <v>240</v>
      </c>
      <c r="E40" s="6" t="s">
        <v>1184</v>
      </c>
      <c r="F40" s="6" t="s">
        <v>252</v>
      </c>
      <c r="G40" s="6" t="s">
        <v>1185</v>
      </c>
      <c r="H40" s="6" t="s">
        <v>1251</v>
      </c>
      <c r="I40" s="24" t="s">
        <v>70</v>
      </c>
      <c r="J40" s="6" t="s">
        <v>1253</v>
      </c>
      <c r="K40" s="6" t="s">
        <v>1255</v>
      </c>
      <c r="L40" s="6" t="s">
        <v>960</v>
      </c>
      <c r="M40" s="8" t="s">
        <v>244</v>
      </c>
      <c r="N40" s="21" t="s">
        <v>247</v>
      </c>
      <c r="O40" s="23" t="s">
        <v>257</v>
      </c>
      <c r="P40" s="6" t="s">
        <v>1256</v>
      </c>
      <c r="Q40" s="6" t="s">
        <v>1259</v>
      </c>
      <c r="R40" s="4"/>
      <c r="S40" s="4"/>
      <c r="T40" s="4"/>
      <c r="U40" s="4"/>
      <c r="V40" s="4"/>
      <c r="W40" s="4"/>
      <c r="X40" s="4"/>
      <c r="Y40" s="4"/>
      <c r="Z40" s="4"/>
    </row>
    <row r="41" ht="132.0" hidden="1" customHeight="1">
      <c r="A41" s="6" t="s">
        <v>1263</v>
      </c>
      <c r="B41" s="6" t="s">
        <v>1266</v>
      </c>
      <c r="C41" s="6" t="s">
        <v>1268</v>
      </c>
      <c r="D41" s="6" t="s">
        <v>240</v>
      </c>
      <c r="E41" s="6" t="s">
        <v>1184</v>
      </c>
      <c r="F41" s="6" t="s">
        <v>253</v>
      </c>
      <c r="G41" s="6" t="s">
        <v>1185</v>
      </c>
      <c r="H41" s="6" t="s">
        <v>1269</v>
      </c>
      <c r="I41" s="6" t="s">
        <v>1013</v>
      </c>
      <c r="J41" s="6" t="s">
        <v>1273</v>
      </c>
      <c r="K41" s="6" t="s">
        <v>1275</v>
      </c>
      <c r="L41" s="6" t="s">
        <v>960</v>
      </c>
      <c r="M41" s="8" t="s">
        <v>244</v>
      </c>
      <c r="N41" s="21" t="s">
        <v>247</v>
      </c>
      <c r="O41" s="23" t="s">
        <v>257</v>
      </c>
      <c r="P41" s="6" t="s">
        <v>1279</v>
      </c>
      <c r="Q41" s="6" t="s">
        <v>1280</v>
      </c>
      <c r="R41" s="4"/>
      <c r="S41" s="4"/>
      <c r="T41" s="4"/>
      <c r="U41" s="4"/>
      <c r="V41" s="4"/>
      <c r="W41" s="4"/>
      <c r="X41" s="4"/>
      <c r="Y41" s="4"/>
      <c r="Z41" s="4"/>
    </row>
    <row r="42" ht="139.5" hidden="1" customHeight="1">
      <c r="A42" s="6" t="s">
        <v>1283</v>
      </c>
      <c r="B42" s="6" t="s">
        <v>1285</v>
      </c>
      <c r="C42" s="6" t="s">
        <v>1287</v>
      </c>
      <c r="D42" s="6" t="s">
        <v>240</v>
      </c>
      <c r="E42" s="6" t="s">
        <v>1184</v>
      </c>
      <c r="F42" s="6" t="s">
        <v>252</v>
      </c>
      <c r="G42" s="6" t="s">
        <v>1292</v>
      </c>
      <c r="H42" s="6" t="s">
        <v>1293</v>
      </c>
      <c r="I42" s="6" t="s">
        <v>1013</v>
      </c>
      <c r="J42" s="6" t="s">
        <v>1294</v>
      </c>
      <c r="K42" s="6" t="s">
        <v>1295</v>
      </c>
      <c r="L42" s="6" t="s">
        <v>960</v>
      </c>
      <c r="M42" s="8" t="s">
        <v>244</v>
      </c>
      <c r="N42" s="21" t="s">
        <v>247</v>
      </c>
      <c r="O42" s="23" t="s">
        <v>257</v>
      </c>
      <c r="P42" s="6" t="s">
        <v>1300</v>
      </c>
      <c r="Q42" s="6" t="s">
        <v>1302</v>
      </c>
      <c r="R42" s="4"/>
      <c r="S42" s="4"/>
      <c r="T42" s="4"/>
      <c r="U42" s="4"/>
      <c r="V42" s="4"/>
      <c r="W42" s="4"/>
      <c r="X42" s="4"/>
      <c r="Y42" s="4"/>
      <c r="Z42" s="4"/>
    </row>
    <row r="43" ht="129.0" hidden="1" customHeight="1">
      <c r="A43" s="6" t="s">
        <v>1306</v>
      </c>
      <c r="B43" s="6" t="s">
        <v>1307</v>
      </c>
      <c r="C43" s="6" t="s">
        <v>1308</v>
      </c>
      <c r="D43" s="6" t="s">
        <v>240</v>
      </c>
      <c r="E43" s="6" t="s">
        <v>1184</v>
      </c>
      <c r="F43" s="6" t="s">
        <v>252</v>
      </c>
      <c r="G43" s="6" t="s">
        <v>1312</v>
      </c>
      <c r="H43" s="6" t="s">
        <v>1316</v>
      </c>
      <c r="I43" s="6" t="s">
        <v>1013</v>
      </c>
      <c r="J43" s="6" t="s">
        <v>1319</v>
      </c>
      <c r="K43" s="6" t="s">
        <v>1320</v>
      </c>
      <c r="L43" s="6" t="s">
        <v>960</v>
      </c>
      <c r="M43" s="8" t="s">
        <v>244</v>
      </c>
      <c r="N43" s="21" t="s">
        <v>247</v>
      </c>
      <c r="O43" s="32" t="s">
        <v>259</v>
      </c>
      <c r="P43" s="6" t="s">
        <v>1324</v>
      </c>
      <c r="Q43" s="6" t="s">
        <v>1325</v>
      </c>
      <c r="R43" s="4"/>
      <c r="S43" s="4"/>
      <c r="T43" s="4"/>
      <c r="U43" s="4"/>
      <c r="V43" s="4"/>
      <c r="W43" s="4"/>
      <c r="X43" s="4"/>
      <c r="Y43" s="4"/>
      <c r="Z43" s="4"/>
    </row>
    <row r="44" ht="94.5" customHeight="1">
      <c r="A44" s="6" t="s">
        <v>1330</v>
      </c>
      <c r="B44" s="6" t="s">
        <v>1331</v>
      </c>
      <c r="C44" s="6" t="s">
        <v>1332</v>
      </c>
      <c r="D44" s="6" t="s">
        <v>240</v>
      </c>
      <c r="E44" s="6" t="s">
        <v>1333</v>
      </c>
      <c r="F44" s="6" t="s">
        <v>252</v>
      </c>
      <c r="G44" s="6" t="s">
        <v>1334</v>
      </c>
      <c r="H44" s="6" t="s">
        <v>1337</v>
      </c>
      <c r="I44" s="6" t="s">
        <v>1339</v>
      </c>
      <c r="J44" s="6" t="s">
        <v>1340</v>
      </c>
      <c r="K44" s="6" t="s">
        <v>1342</v>
      </c>
      <c r="L44" s="6" t="s">
        <v>960</v>
      </c>
      <c r="M44" s="20" t="s">
        <v>243</v>
      </c>
      <c r="N44" s="21" t="s">
        <v>247</v>
      </c>
      <c r="O44" s="36" t="s">
        <v>258</v>
      </c>
      <c r="P44" s="6" t="s">
        <v>1347</v>
      </c>
      <c r="Q44" s="6" t="s">
        <v>1348</v>
      </c>
      <c r="R44" s="4"/>
      <c r="S44" s="4"/>
      <c r="T44" s="4"/>
      <c r="U44" s="4"/>
      <c r="V44" s="4"/>
      <c r="W44" s="4"/>
      <c r="X44" s="4"/>
      <c r="Y44" s="4"/>
      <c r="Z44" s="4"/>
    </row>
    <row r="45" ht="102.75" hidden="1" customHeight="1">
      <c r="A45" s="6" t="s">
        <v>1352</v>
      </c>
      <c r="B45" s="6" t="s">
        <v>1354</v>
      </c>
      <c r="C45" s="6" t="s">
        <v>1356</v>
      </c>
      <c r="D45" s="6" t="s">
        <v>240</v>
      </c>
      <c r="E45" s="6" t="s">
        <v>1333</v>
      </c>
      <c r="F45" s="6" t="s">
        <v>252</v>
      </c>
      <c r="G45" s="6" t="s">
        <v>1334</v>
      </c>
      <c r="H45" s="6" t="s">
        <v>1360</v>
      </c>
      <c r="I45" s="6" t="s">
        <v>1339</v>
      </c>
      <c r="J45" s="6" t="s">
        <v>1361</v>
      </c>
      <c r="K45" s="6" t="s">
        <v>1362</v>
      </c>
      <c r="L45" s="6" t="s">
        <v>960</v>
      </c>
      <c r="M45" s="8" t="s">
        <v>244</v>
      </c>
      <c r="N45" s="21" t="s">
        <v>247</v>
      </c>
      <c r="O45" s="23" t="s">
        <v>257</v>
      </c>
      <c r="P45" s="6" t="s">
        <v>1363</v>
      </c>
      <c r="Q45" s="6" t="s">
        <v>861</v>
      </c>
      <c r="R45" s="4"/>
      <c r="S45" s="4"/>
      <c r="T45" s="4"/>
      <c r="U45" s="4"/>
      <c r="V45" s="4"/>
      <c r="W45" s="4"/>
      <c r="X45" s="4"/>
      <c r="Y45" s="4"/>
      <c r="Z45" s="4"/>
    </row>
    <row r="46" ht="96.0" hidden="1" customHeight="1">
      <c r="A46" s="6" t="s">
        <v>1364</v>
      </c>
      <c r="B46" s="6" t="s">
        <v>1365</v>
      </c>
      <c r="C46" s="6" t="s">
        <v>1366</v>
      </c>
      <c r="D46" s="6" t="s">
        <v>240</v>
      </c>
      <c r="E46" s="6" t="s">
        <v>1333</v>
      </c>
      <c r="F46" s="6" t="s">
        <v>252</v>
      </c>
      <c r="G46" s="6" t="s">
        <v>1367</v>
      </c>
      <c r="H46" s="6" t="s">
        <v>1368</v>
      </c>
      <c r="I46" s="6" t="s">
        <v>1339</v>
      </c>
      <c r="J46" s="6" t="s">
        <v>1369</v>
      </c>
      <c r="K46" s="6" t="s">
        <v>1370</v>
      </c>
      <c r="L46" s="6" t="s">
        <v>960</v>
      </c>
      <c r="M46" s="8" t="s">
        <v>244</v>
      </c>
      <c r="N46" s="21" t="s">
        <v>247</v>
      </c>
      <c r="O46" s="23" t="s">
        <v>257</v>
      </c>
      <c r="P46" s="6" t="s">
        <v>1371</v>
      </c>
      <c r="Q46" s="6" t="s">
        <v>1372</v>
      </c>
      <c r="R46" s="4"/>
      <c r="S46" s="4"/>
      <c r="T46" s="4"/>
      <c r="U46" s="4"/>
      <c r="V46" s="4"/>
      <c r="W46" s="4"/>
      <c r="X46" s="4"/>
      <c r="Y46" s="4"/>
      <c r="Z46" s="4"/>
    </row>
    <row r="47" ht="94.5" hidden="1" customHeight="1">
      <c r="A47" s="6" t="s">
        <v>1373</v>
      </c>
      <c r="B47" s="6" t="s">
        <v>1374</v>
      </c>
      <c r="C47" s="6" t="s">
        <v>1375</v>
      </c>
      <c r="D47" s="6" t="s">
        <v>240</v>
      </c>
      <c r="E47" s="6" t="s">
        <v>1333</v>
      </c>
      <c r="F47" s="6" t="s">
        <v>252</v>
      </c>
      <c r="G47" s="6" t="s">
        <v>1376</v>
      </c>
      <c r="H47" s="6" t="s">
        <v>1377</v>
      </c>
      <c r="I47" s="6" t="s">
        <v>1339</v>
      </c>
      <c r="J47" s="6" t="s">
        <v>1378</v>
      </c>
      <c r="K47" s="6" t="s">
        <v>1379</v>
      </c>
      <c r="L47" s="6" t="s">
        <v>960</v>
      </c>
      <c r="M47" s="8" t="s">
        <v>244</v>
      </c>
      <c r="N47" s="21" t="s">
        <v>247</v>
      </c>
      <c r="O47" s="23" t="s">
        <v>257</v>
      </c>
      <c r="P47" s="6" t="s">
        <v>1380</v>
      </c>
      <c r="Q47" s="6" t="s">
        <v>861</v>
      </c>
      <c r="R47" s="4"/>
      <c r="S47" s="4"/>
      <c r="T47" s="4"/>
      <c r="U47" s="4"/>
      <c r="V47" s="4"/>
      <c r="W47" s="4"/>
      <c r="X47" s="4"/>
      <c r="Y47" s="4"/>
      <c r="Z47" s="4"/>
    </row>
    <row r="48" ht="95.25" customHeight="1">
      <c r="A48" s="6" t="s">
        <v>1381</v>
      </c>
      <c r="B48" s="6" t="s">
        <v>1382</v>
      </c>
      <c r="C48" s="6" t="s">
        <v>1383</v>
      </c>
      <c r="D48" s="6" t="s">
        <v>240</v>
      </c>
      <c r="E48" s="6" t="s">
        <v>1333</v>
      </c>
      <c r="F48" s="6" t="s">
        <v>252</v>
      </c>
      <c r="G48" s="6" t="s">
        <v>1384</v>
      </c>
      <c r="H48" s="6" t="s">
        <v>1385</v>
      </c>
      <c r="I48" s="6" t="s">
        <v>1339</v>
      </c>
      <c r="J48" s="6" t="s">
        <v>1386</v>
      </c>
      <c r="K48" s="6" t="s">
        <v>1387</v>
      </c>
      <c r="L48" s="6" t="s">
        <v>960</v>
      </c>
      <c r="M48" s="20" t="s">
        <v>243</v>
      </c>
      <c r="N48" s="21" t="s">
        <v>247</v>
      </c>
      <c r="O48" s="23" t="s">
        <v>257</v>
      </c>
      <c r="P48" s="6" t="s">
        <v>1388</v>
      </c>
      <c r="Q48" s="6" t="s">
        <v>861</v>
      </c>
      <c r="R48" s="4"/>
      <c r="S48" s="4"/>
      <c r="T48" s="4"/>
      <c r="U48" s="4"/>
      <c r="V48" s="4"/>
      <c r="W48" s="4"/>
      <c r="X48" s="4"/>
      <c r="Y48" s="4"/>
      <c r="Z48" s="4"/>
    </row>
    <row r="49" ht="95.25" hidden="1" customHeight="1">
      <c r="A49" s="6" t="s">
        <v>1389</v>
      </c>
      <c r="B49" s="6" t="s">
        <v>1390</v>
      </c>
      <c r="C49" s="6" t="s">
        <v>1391</v>
      </c>
      <c r="D49" s="6" t="s">
        <v>240</v>
      </c>
      <c r="E49" s="6" t="s">
        <v>1333</v>
      </c>
      <c r="F49" s="6" t="s">
        <v>252</v>
      </c>
      <c r="G49" s="6" t="s">
        <v>1384</v>
      </c>
      <c r="H49" s="6" t="s">
        <v>1392</v>
      </c>
      <c r="I49" s="6" t="s">
        <v>1339</v>
      </c>
      <c r="J49" s="6" t="s">
        <v>1393</v>
      </c>
      <c r="K49" s="6" t="s">
        <v>1394</v>
      </c>
      <c r="L49" s="6" t="s">
        <v>960</v>
      </c>
      <c r="M49" s="8" t="s">
        <v>244</v>
      </c>
      <c r="N49" s="21" t="s">
        <v>247</v>
      </c>
      <c r="O49" s="23" t="s">
        <v>257</v>
      </c>
      <c r="P49" s="6" t="s">
        <v>1395</v>
      </c>
      <c r="Q49" s="6" t="s">
        <v>1396</v>
      </c>
      <c r="R49" s="4"/>
      <c r="S49" s="4"/>
      <c r="T49" s="4"/>
      <c r="U49" s="4"/>
      <c r="V49" s="4"/>
      <c r="W49" s="4"/>
      <c r="X49" s="4"/>
      <c r="Y49" s="4"/>
      <c r="Z49" s="4"/>
    </row>
    <row r="50" ht="96.0" customHeight="1">
      <c r="A50" s="6" t="s">
        <v>1397</v>
      </c>
      <c r="B50" s="6" t="s">
        <v>1398</v>
      </c>
      <c r="C50" s="6" t="s">
        <v>1399</v>
      </c>
      <c r="D50" s="6" t="s">
        <v>240</v>
      </c>
      <c r="E50" s="6" t="s">
        <v>1333</v>
      </c>
      <c r="F50" s="6" t="s">
        <v>252</v>
      </c>
      <c r="G50" s="6" t="s">
        <v>1400</v>
      </c>
      <c r="H50" s="6" t="s">
        <v>1401</v>
      </c>
      <c r="I50" s="6" t="s">
        <v>1339</v>
      </c>
      <c r="J50" s="6" t="s">
        <v>1402</v>
      </c>
      <c r="K50" s="6" t="s">
        <v>1403</v>
      </c>
      <c r="L50" s="6" t="s">
        <v>960</v>
      </c>
      <c r="M50" s="20" t="s">
        <v>243</v>
      </c>
      <c r="N50" s="21" t="s">
        <v>247</v>
      </c>
      <c r="O50" s="23" t="s">
        <v>257</v>
      </c>
      <c r="P50" s="6" t="s">
        <v>1404</v>
      </c>
      <c r="Q50" s="6" t="s">
        <v>861</v>
      </c>
      <c r="R50" s="4"/>
      <c r="S50" s="4"/>
      <c r="T50" s="4"/>
      <c r="U50" s="4"/>
      <c r="V50" s="4"/>
      <c r="W50" s="4"/>
      <c r="X50" s="4"/>
      <c r="Y50" s="4"/>
      <c r="Z50" s="4"/>
    </row>
    <row r="51" ht="96.0" hidden="1" customHeight="1">
      <c r="A51" s="6" t="s">
        <v>1405</v>
      </c>
      <c r="B51" s="6" t="s">
        <v>1406</v>
      </c>
      <c r="C51" s="6" t="s">
        <v>1407</v>
      </c>
      <c r="D51" s="6" t="s">
        <v>240</v>
      </c>
      <c r="E51" s="6" t="s">
        <v>1333</v>
      </c>
      <c r="F51" s="6" t="s">
        <v>252</v>
      </c>
      <c r="G51" s="6" t="s">
        <v>1408</v>
      </c>
      <c r="H51" s="6" t="s">
        <v>1409</v>
      </c>
      <c r="I51" s="6" t="s">
        <v>1339</v>
      </c>
      <c r="J51" s="6" t="s">
        <v>1410</v>
      </c>
      <c r="K51" s="6" t="s">
        <v>1411</v>
      </c>
      <c r="L51" s="6" t="s">
        <v>960</v>
      </c>
      <c r="M51" s="8" t="s">
        <v>244</v>
      </c>
      <c r="N51" s="21" t="s">
        <v>247</v>
      </c>
      <c r="O51" s="23" t="s">
        <v>257</v>
      </c>
      <c r="P51" s="6" t="s">
        <v>1412</v>
      </c>
      <c r="Q51" s="6" t="s">
        <v>861</v>
      </c>
      <c r="R51" s="4"/>
      <c r="S51" s="4"/>
      <c r="T51" s="4"/>
      <c r="U51" s="4"/>
      <c r="V51" s="4"/>
      <c r="W51" s="4"/>
      <c r="X51" s="4"/>
      <c r="Y51" s="4"/>
      <c r="Z51" s="4"/>
    </row>
    <row r="52" ht="104.25" hidden="1" customHeight="1">
      <c r="A52" s="6" t="s">
        <v>1413</v>
      </c>
      <c r="B52" s="6" t="s">
        <v>1414</v>
      </c>
      <c r="C52" s="6" t="s">
        <v>1415</v>
      </c>
      <c r="D52" s="6" t="s">
        <v>240</v>
      </c>
      <c r="E52" s="6" t="s">
        <v>1333</v>
      </c>
      <c r="F52" s="6" t="s">
        <v>252</v>
      </c>
      <c r="G52" s="6" t="s">
        <v>1416</v>
      </c>
      <c r="H52" s="6" t="s">
        <v>1417</v>
      </c>
      <c r="I52" s="6" t="s">
        <v>1339</v>
      </c>
      <c r="J52" s="6" t="s">
        <v>1418</v>
      </c>
      <c r="K52" s="6" t="s">
        <v>1419</v>
      </c>
      <c r="L52" s="6" t="s">
        <v>960</v>
      </c>
      <c r="M52" s="8" t="s">
        <v>244</v>
      </c>
      <c r="N52" s="21" t="s">
        <v>247</v>
      </c>
      <c r="O52" s="23" t="s">
        <v>257</v>
      </c>
      <c r="P52" s="6" t="s">
        <v>1420</v>
      </c>
      <c r="Q52" s="6" t="s">
        <v>861</v>
      </c>
      <c r="R52" s="4"/>
      <c r="S52" s="4"/>
      <c r="T52" s="4"/>
      <c r="U52" s="4"/>
      <c r="V52" s="4"/>
      <c r="W52" s="4"/>
      <c r="X52" s="4"/>
      <c r="Y52" s="4"/>
      <c r="Z52" s="4"/>
    </row>
    <row r="53" ht="100.5" customHeight="1">
      <c r="A53" s="6" t="s">
        <v>1421</v>
      </c>
      <c r="B53" s="6" t="s">
        <v>1422</v>
      </c>
      <c r="C53" s="6" t="s">
        <v>1423</v>
      </c>
      <c r="D53" s="6" t="s">
        <v>240</v>
      </c>
      <c r="E53" s="6" t="s">
        <v>1333</v>
      </c>
      <c r="F53" s="6" t="s">
        <v>252</v>
      </c>
      <c r="G53" s="6" t="s">
        <v>1424</v>
      </c>
      <c r="H53" s="6" t="s">
        <v>1425</v>
      </c>
      <c r="I53" s="6" t="s">
        <v>1339</v>
      </c>
      <c r="J53" s="6" t="s">
        <v>1426</v>
      </c>
      <c r="K53" s="6" t="s">
        <v>1427</v>
      </c>
      <c r="L53" s="6" t="s">
        <v>960</v>
      </c>
      <c r="M53" s="20" t="s">
        <v>243</v>
      </c>
      <c r="N53" s="21" t="s">
        <v>247</v>
      </c>
      <c r="O53" s="23" t="s">
        <v>257</v>
      </c>
      <c r="P53" s="6" t="s">
        <v>1428</v>
      </c>
      <c r="Q53" s="6" t="s">
        <v>1429</v>
      </c>
      <c r="R53" s="4"/>
      <c r="S53" s="4"/>
      <c r="T53" s="4"/>
      <c r="U53" s="4"/>
      <c r="V53" s="4"/>
      <c r="W53" s="4"/>
      <c r="X53" s="4"/>
      <c r="Y53" s="4"/>
      <c r="Z53" s="4"/>
    </row>
    <row r="54" ht="51.0" customHeight="1">
      <c r="A54" s="27" t="s">
        <v>1430</v>
      </c>
      <c r="B54" s="6" t="s">
        <v>1431</v>
      </c>
      <c r="C54" s="6" t="s">
        <v>1432</v>
      </c>
      <c r="D54" s="6" t="s">
        <v>240</v>
      </c>
      <c r="E54" s="6" t="s">
        <v>1433</v>
      </c>
      <c r="F54" s="6" t="s">
        <v>251</v>
      </c>
      <c r="G54" s="6" t="s">
        <v>1434</v>
      </c>
      <c r="H54" s="27" t="s">
        <v>1435</v>
      </c>
      <c r="I54" s="33" t="s">
        <v>70</v>
      </c>
      <c r="J54" s="27" t="s">
        <v>1436</v>
      </c>
      <c r="K54" s="6" t="s">
        <v>1437</v>
      </c>
      <c r="L54" s="6" t="s">
        <v>1438</v>
      </c>
      <c r="M54" s="20" t="s">
        <v>243</v>
      </c>
      <c r="N54" s="21" t="s">
        <v>247</v>
      </c>
      <c r="O54" s="23" t="s">
        <v>257</v>
      </c>
      <c r="P54" s="6" t="s">
        <v>1439</v>
      </c>
      <c r="Q54" s="6"/>
      <c r="R54" s="4"/>
      <c r="S54" s="4"/>
      <c r="T54" s="4"/>
      <c r="U54" s="4"/>
      <c r="V54" s="4"/>
      <c r="W54" s="4"/>
      <c r="X54" s="4"/>
      <c r="Y54" s="4"/>
      <c r="Z54" s="4"/>
    </row>
    <row r="55" ht="39.75" customHeight="1">
      <c r="A55" s="27" t="s">
        <v>1440</v>
      </c>
      <c r="B55" s="6" t="s">
        <v>1441</v>
      </c>
      <c r="C55" s="6" t="s">
        <v>1442</v>
      </c>
      <c r="D55" s="6" t="s">
        <v>240</v>
      </c>
      <c r="E55" s="6" t="s">
        <v>1443</v>
      </c>
      <c r="F55" s="6" t="s">
        <v>251</v>
      </c>
      <c r="G55" s="6" t="s">
        <v>1444</v>
      </c>
      <c r="H55" s="27" t="s">
        <v>1435</v>
      </c>
      <c r="I55" s="6" t="s">
        <v>1445</v>
      </c>
      <c r="J55" s="27" t="s">
        <v>1446</v>
      </c>
      <c r="K55" s="6" t="s">
        <v>1447</v>
      </c>
      <c r="L55" s="6" t="s">
        <v>1448</v>
      </c>
      <c r="M55" s="20" t="s">
        <v>243</v>
      </c>
      <c r="N55" s="21" t="s">
        <v>247</v>
      </c>
      <c r="O55" s="23" t="s">
        <v>257</v>
      </c>
      <c r="P55" s="6" t="s">
        <v>1449</v>
      </c>
      <c r="Q55" s="6"/>
      <c r="R55" s="4"/>
      <c r="S55" s="4"/>
      <c r="T55" s="4"/>
      <c r="U55" s="4"/>
      <c r="V55" s="4"/>
      <c r="W55" s="4"/>
      <c r="X55" s="4"/>
      <c r="Y55" s="4"/>
      <c r="Z55" s="4"/>
    </row>
    <row r="56" ht="66.0" customHeight="1">
      <c r="A56" s="6" t="s">
        <v>1450</v>
      </c>
      <c r="B56" s="6" t="s">
        <v>1451</v>
      </c>
      <c r="C56" s="6" t="s">
        <v>1452</v>
      </c>
      <c r="D56" s="6" t="s">
        <v>240</v>
      </c>
      <c r="E56" s="6" t="s">
        <v>502</v>
      </c>
      <c r="F56" s="6" t="s">
        <v>251</v>
      </c>
      <c r="G56" s="6" t="s">
        <v>1453</v>
      </c>
      <c r="H56" s="6" t="s">
        <v>1454</v>
      </c>
      <c r="I56" s="6" t="s">
        <v>1455</v>
      </c>
      <c r="J56" s="6" t="s">
        <v>1456</v>
      </c>
      <c r="K56" s="6" t="s">
        <v>1457</v>
      </c>
      <c r="L56" s="6" t="s">
        <v>507</v>
      </c>
      <c r="M56" s="20" t="s">
        <v>243</v>
      </c>
      <c r="N56" s="21" t="s">
        <v>247</v>
      </c>
      <c r="O56" s="23" t="s">
        <v>257</v>
      </c>
      <c r="P56" s="6" t="s">
        <v>1458</v>
      </c>
      <c r="Q56" s="6" t="s">
        <v>1459</v>
      </c>
      <c r="R56" s="4"/>
      <c r="S56" s="4"/>
      <c r="T56" s="4"/>
      <c r="U56" s="4"/>
      <c r="V56" s="4"/>
      <c r="W56" s="4"/>
      <c r="X56" s="4"/>
      <c r="Y56" s="4"/>
      <c r="Z56" s="4"/>
    </row>
    <row r="57" ht="60.0" customHeight="1">
      <c r="A57" s="6" t="s">
        <v>1460</v>
      </c>
      <c r="B57" s="6" t="s">
        <v>1461</v>
      </c>
      <c r="C57" s="6" t="s">
        <v>1462</v>
      </c>
      <c r="D57" s="6" t="s">
        <v>240</v>
      </c>
      <c r="E57" s="6" t="s">
        <v>502</v>
      </c>
      <c r="F57" s="6" t="s">
        <v>251</v>
      </c>
      <c r="G57" s="6" t="s">
        <v>1463</v>
      </c>
      <c r="H57" s="6" t="s">
        <v>1464</v>
      </c>
      <c r="I57" s="6" t="s">
        <v>1465</v>
      </c>
      <c r="J57" s="6" t="s">
        <v>1466</v>
      </c>
      <c r="K57" s="6" t="s">
        <v>1467</v>
      </c>
      <c r="L57" s="6" t="s">
        <v>516</v>
      </c>
      <c r="M57" s="20" t="s">
        <v>243</v>
      </c>
      <c r="N57" s="21" t="s">
        <v>247</v>
      </c>
      <c r="O57" s="23" t="s">
        <v>257</v>
      </c>
      <c r="P57" s="6" t="s">
        <v>1468</v>
      </c>
      <c r="Q57" s="6" t="s">
        <v>1469</v>
      </c>
      <c r="R57" s="4"/>
      <c r="S57" s="4"/>
      <c r="T57" s="4"/>
      <c r="U57" s="4"/>
      <c r="V57" s="4"/>
      <c r="W57" s="4"/>
      <c r="X57" s="4"/>
      <c r="Y57" s="4"/>
      <c r="Z57" s="4"/>
    </row>
    <row r="58" ht="43.5" hidden="1" customHeight="1">
      <c r="A58" s="6" t="s">
        <v>1470</v>
      </c>
      <c r="B58" s="6" t="s">
        <v>1471</v>
      </c>
      <c r="C58" s="6" t="s">
        <v>1472</v>
      </c>
      <c r="D58" s="6" t="s">
        <v>240</v>
      </c>
      <c r="E58" s="6" t="s">
        <v>1473</v>
      </c>
      <c r="F58" s="6" t="s">
        <v>252</v>
      </c>
      <c r="G58" s="6" t="s">
        <v>1474</v>
      </c>
      <c r="H58" s="6" t="s">
        <v>1475</v>
      </c>
      <c r="I58" s="6" t="s">
        <v>1476</v>
      </c>
      <c r="J58" s="6" t="s">
        <v>1477</v>
      </c>
      <c r="K58" s="6" t="s">
        <v>1478</v>
      </c>
      <c r="L58" s="6" t="s">
        <v>1479</v>
      </c>
      <c r="M58" s="8" t="s">
        <v>244</v>
      </c>
      <c r="N58" s="21" t="s">
        <v>247</v>
      </c>
      <c r="O58" s="23" t="s">
        <v>257</v>
      </c>
      <c r="P58" s="6" t="s">
        <v>1480</v>
      </c>
      <c r="Q58" s="6" t="s">
        <v>1481</v>
      </c>
      <c r="R58" s="4"/>
      <c r="S58" s="4"/>
      <c r="T58" s="4"/>
      <c r="U58" s="4"/>
      <c r="V58" s="4"/>
      <c r="W58" s="4"/>
      <c r="X58" s="4"/>
      <c r="Y58" s="4"/>
      <c r="Z58" s="4"/>
    </row>
    <row r="59" ht="82.5" hidden="1" customHeight="1">
      <c r="A59" s="6" t="s">
        <v>1482</v>
      </c>
      <c r="B59" s="6" t="s">
        <v>1483</v>
      </c>
      <c r="C59" s="6" t="s">
        <v>1484</v>
      </c>
      <c r="D59" s="6" t="s">
        <v>240</v>
      </c>
      <c r="E59" s="6" t="s">
        <v>1485</v>
      </c>
      <c r="F59" s="6" t="s">
        <v>252</v>
      </c>
      <c r="G59" s="6" t="s">
        <v>1486</v>
      </c>
      <c r="H59" s="6" t="s">
        <v>1487</v>
      </c>
      <c r="I59" s="6" t="s">
        <v>1488</v>
      </c>
      <c r="J59" s="6" t="s">
        <v>1489</v>
      </c>
      <c r="K59" s="6" t="s">
        <v>1490</v>
      </c>
      <c r="L59" s="6" t="s">
        <v>516</v>
      </c>
      <c r="M59" s="8" t="s">
        <v>244</v>
      </c>
      <c r="N59" s="21" t="s">
        <v>247</v>
      </c>
      <c r="O59" s="32" t="s">
        <v>259</v>
      </c>
      <c r="P59" s="6" t="s">
        <v>1491</v>
      </c>
      <c r="Q59" s="6" t="s">
        <v>1492</v>
      </c>
      <c r="R59" s="4"/>
      <c r="S59" s="4"/>
      <c r="T59" s="4"/>
      <c r="U59" s="4"/>
      <c r="V59" s="4"/>
      <c r="W59" s="4"/>
      <c r="X59" s="4"/>
      <c r="Y59" s="4"/>
      <c r="Z59" s="4"/>
    </row>
    <row r="60" ht="84.0" hidden="1" customHeight="1">
      <c r="A60" s="6" t="s">
        <v>1493</v>
      </c>
      <c r="B60" s="6" t="s">
        <v>1494</v>
      </c>
      <c r="C60" s="6" t="s">
        <v>1495</v>
      </c>
      <c r="D60" s="6" t="s">
        <v>240</v>
      </c>
      <c r="E60" s="6" t="s">
        <v>845</v>
      </c>
      <c r="F60" s="6" t="s">
        <v>253</v>
      </c>
      <c r="G60" s="6" t="s">
        <v>1486</v>
      </c>
      <c r="H60" s="6" t="s">
        <v>1496</v>
      </c>
      <c r="I60" s="6" t="s">
        <v>1497</v>
      </c>
      <c r="J60" s="6" t="s">
        <v>1498</v>
      </c>
      <c r="K60" s="6" t="s">
        <v>848</v>
      </c>
      <c r="L60" s="6" t="s">
        <v>45</v>
      </c>
      <c r="M60" s="8" t="s">
        <v>244</v>
      </c>
      <c r="N60" s="21" t="s">
        <v>247</v>
      </c>
      <c r="O60" s="23" t="s">
        <v>257</v>
      </c>
      <c r="P60" s="6" t="s">
        <v>1499</v>
      </c>
      <c r="Q60" s="6" t="s">
        <v>1500</v>
      </c>
      <c r="R60" s="4"/>
      <c r="S60" s="4"/>
      <c r="T60" s="4"/>
      <c r="U60" s="4"/>
      <c r="V60" s="4"/>
      <c r="W60" s="4"/>
      <c r="X60" s="4"/>
      <c r="Y60" s="4"/>
      <c r="Z60" s="4"/>
    </row>
    <row r="61" ht="77.25" hidden="1" customHeight="1">
      <c r="A61" s="6" t="s">
        <v>1501</v>
      </c>
      <c r="B61" s="6" t="s">
        <v>1502</v>
      </c>
      <c r="C61" s="6" t="s">
        <v>1503</v>
      </c>
      <c r="D61" s="6" t="s">
        <v>240</v>
      </c>
      <c r="E61" s="6" t="s">
        <v>1504</v>
      </c>
      <c r="F61" s="6" t="s">
        <v>252</v>
      </c>
      <c r="G61" s="6" t="s">
        <v>1505</v>
      </c>
      <c r="H61" s="6" t="s">
        <v>1506</v>
      </c>
      <c r="I61" s="6" t="s">
        <v>1507</v>
      </c>
      <c r="J61" s="6" t="s">
        <v>1508</v>
      </c>
      <c r="K61" s="6" t="s">
        <v>1509</v>
      </c>
      <c r="L61" s="6" t="s">
        <v>45</v>
      </c>
      <c r="M61" s="8" t="s">
        <v>244</v>
      </c>
      <c r="N61" s="21" t="s">
        <v>247</v>
      </c>
      <c r="O61" s="36" t="s">
        <v>258</v>
      </c>
      <c r="P61" s="6" t="s">
        <v>1510</v>
      </c>
      <c r="Q61" s="6" t="s">
        <v>1511</v>
      </c>
      <c r="R61" s="4"/>
      <c r="S61" s="4"/>
      <c r="T61" s="4"/>
      <c r="U61" s="4"/>
      <c r="V61" s="4"/>
      <c r="W61" s="4"/>
      <c r="X61" s="4"/>
      <c r="Y61" s="4"/>
      <c r="Z61" s="4"/>
    </row>
    <row r="62" ht="102.75" customHeight="1">
      <c r="A62" s="6" t="s">
        <v>1512</v>
      </c>
      <c r="B62" s="6" t="s">
        <v>1513</v>
      </c>
      <c r="C62" s="6" t="s">
        <v>1514</v>
      </c>
      <c r="D62" s="6" t="s">
        <v>240</v>
      </c>
      <c r="E62" s="6" t="s">
        <v>1515</v>
      </c>
      <c r="F62" s="6" t="s">
        <v>252</v>
      </c>
      <c r="G62" s="6" t="s">
        <v>1516</v>
      </c>
      <c r="H62" s="6" t="s">
        <v>1517</v>
      </c>
      <c r="I62" s="6" t="s">
        <v>1518</v>
      </c>
      <c r="J62" s="6" t="s">
        <v>1519</v>
      </c>
      <c r="K62" s="6" t="s">
        <v>1520</v>
      </c>
      <c r="L62" s="6" t="s">
        <v>45</v>
      </c>
      <c r="M62" s="20" t="s">
        <v>243</v>
      </c>
      <c r="N62" s="35" t="s">
        <v>248</v>
      </c>
      <c r="O62" s="36" t="s">
        <v>258</v>
      </c>
      <c r="P62" s="6" t="s">
        <v>1521</v>
      </c>
      <c r="Q62" s="6" t="s">
        <v>1522</v>
      </c>
      <c r="R62" s="4"/>
      <c r="S62" s="4"/>
      <c r="T62" s="4"/>
      <c r="U62" s="4"/>
      <c r="V62" s="4"/>
      <c r="W62" s="4"/>
      <c r="X62" s="4"/>
      <c r="Y62" s="4"/>
      <c r="Z62" s="4"/>
    </row>
    <row r="63" ht="59.25" hidden="1" customHeight="1">
      <c r="A63" s="6" t="s">
        <v>1523</v>
      </c>
      <c r="B63" s="6" t="s">
        <v>1524</v>
      </c>
      <c r="C63" s="6" t="s">
        <v>1525</v>
      </c>
      <c r="D63" s="6" t="s">
        <v>240</v>
      </c>
      <c r="E63" s="6" t="s">
        <v>1526</v>
      </c>
      <c r="F63" s="6" t="s">
        <v>253</v>
      </c>
      <c r="G63" s="6" t="s">
        <v>1527</v>
      </c>
      <c r="H63" s="6" t="s">
        <v>1528</v>
      </c>
      <c r="I63" s="6" t="s">
        <v>1529</v>
      </c>
      <c r="J63" s="6" t="s">
        <v>1530</v>
      </c>
      <c r="K63" s="6" t="s">
        <v>1531</v>
      </c>
      <c r="L63" s="6" t="s">
        <v>45</v>
      </c>
      <c r="M63" s="8" t="s">
        <v>244</v>
      </c>
      <c r="N63" s="35" t="s">
        <v>248</v>
      </c>
      <c r="O63" s="32" t="s">
        <v>259</v>
      </c>
      <c r="P63" s="6" t="s">
        <v>1532</v>
      </c>
      <c r="Q63" s="6" t="s">
        <v>1533</v>
      </c>
      <c r="R63" s="4"/>
      <c r="S63" s="4"/>
      <c r="T63" s="4"/>
      <c r="U63" s="4"/>
      <c r="V63" s="4"/>
      <c r="W63" s="4"/>
      <c r="X63" s="4"/>
      <c r="Y63" s="4"/>
      <c r="Z63" s="4"/>
    </row>
    <row r="64" ht="90.0" customHeight="1">
      <c r="A64" s="6" t="s">
        <v>1534</v>
      </c>
      <c r="B64" s="6" t="s">
        <v>1535</v>
      </c>
      <c r="C64" s="6" t="s">
        <v>1536</v>
      </c>
      <c r="D64" s="6" t="s">
        <v>240</v>
      </c>
      <c r="E64" s="6" t="s">
        <v>1215</v>
      </c>
      <c r="F64" s="6" t="s">
        <v>252</v>
      </c>
      <c r="G64" s="6" t="s">
        <v>1537</v>
      </c>
      <c r="H64" s="6" t="s">
        <v>1538</v>
      </c>
      <c r="I64" s="6" t="s">
        <v>1539</v>
      </c>
      <c r="J64" s="6" t="s">
        <v>1540</v>
      </c>
      <c r="K64" s="6" t="s">
        <v>1541</v>
      </c>
      <c r="L64" s="6" t="s">
        <v>45</v>
      </c>
      <c r="M64" s="20" t="s">
        <v>243</v>
      </c>
      <c r="N64" s="21" t="s">
        <v>247</v>
      </c>
      <c r="O64" s="32" t="s">
        <v>259</v>
      </c>
      <c r="P64" s="6" t="s">
        <v>1542</v>
      </c>
      <c r="Q64" s="6" t="s">
        <v>1543</v>
      </c>
      <c r="R64" s="4"/>
      <c r="S64" s="4"/>
      <c r="T64" s="4"/>
      <c r="U64" s="4"/>
      <c r="V64" s="4"/>
      <c r="W64" s="4"/>
      <c r="X64" s="4"/>
      <c r="Y64" s="4"/>
      <c r="Z64" s="4"/>
    </row>
    <row r="65" ht="60.75" hidden="1" customHeight="1">
      <c r="A65" s="6" t="s">
        <v>1544</v>
      </c>
      <c r="B65" s="6" t="s">
        <v>1545</v>
      </c>
      <c r="C65" s="6" t="s">
        <v>1546</v>
      </c>
      <c r="D65" s="6" t="s">
        <v>240</v>
      </c>
      <c r="E65" s="6" t="s">
        <v>1547</v>
      </c>
      <c r="F65" s="6" t="s">
        <v>252</v>
      </c>
      <c r="G65" s="6" t="s">
        <v>1548</v>
      </c>
      <c r="H65" s="6" t="s">
        <v>1549</v>
      </c>
      <c r="I65" s="6" t="s">
        <v>1550</v>
      </c>
      <c r="J65" s="6" t="s">
        <v>1551</v>
      </c>
      <c r="K65" s="6" t="s">
        <v>1552</v>
      </c>
      <c r="L65" s="6" t="s">
        <v>45</v>
      </c>
      <c r="M65" s="8" t="s">
        <v>244</v>
      </c>
      <c r="N65" s="21" t="s">
        <v>247</v>
      </c>
      <c r="O65" s="36" t="s">
        <v>258</v>
      </c>
      <c r="P65" s="6" t="s">
        <v>1553</v>
      </c>
      <c r="Q65" s="6" t="s">
        <v>1522</v>
      </c>
      <c r="R65" s="4"/>
      <c r="S65" s="4"/>
      <c r="T65" s="4"/>
      <c r="U65" s="4"/>
      <c r="V65" s="4"/>
      <c r="W65" s="4"/>
      <c r="X65" s="4"/>
      <c r="Y65" s="4"/>
      <c r="Z65" s="4"/>
    </row>
    <row r="66" ht="99.75" customHeight="1">
      <c r="A66" s="6" t="s">
        <v>1554</v>
      </c>
      <c r="B66" s="6" t="s">
        <v>1555</v>
      </c>
      <c r="C66" s="6" t="s">
        <v>1556</v>
      </c>
      <c r="D66" s="6" t="s">
        <v>240</v>
      </c>
      <c r="E66" s="6" t="s">
        <v>1557</v>
      </c>
      <c r="F66" s="6" t="s">
        <v>251</v>
      </c>
      <c r="G66" s="6" t="s">
        <v>1185</v>
      </c>
      <c r="H66" s="6" t="s">
        <v>1558</v>
      </c>
      <c r="I66" s="6" t="s">
        <v>1559</v>
      </c>
      <c r="J66" s="6" t="s">
        <v>1560</v>
      </c>
      <c r="K66" s="6" t="s">
        <v>1561</v>
      </c>
      <c r="L66" s="6" t="s">
        <v>1562</v>
      </c>
      <c r="M66" s="20" t="s">
        <v>243</v>
      </c>
      <c r="N66" s="21" t="s">
        <v>247</v>
      </c>
      <c r="O66" s="23" t="s">
        <v>257</v>
      </c>
      <c r="P66" s="6" t="s">
        <v>1563</v>
      </c>
      <c r="Q66" s="6" t="s">
        <v>1564</v>
      </c>
      <c r="R66" s="4"/>
      <c r="S66" s="4"/>
      <c r="T66" s="4"/>
      <c r="U66" s="4"/>
      <c r="V66" s="4"/>
      <c r="W66" s="4"/>
      <c r="X66" s="4"/>
      <c r="Y66" s="4"/>
      <c r="Z66" s="4"/>
    </row>
    <row r="67" ht="97.5" customHeight="1">
      <c r="A67" s="6" t="s">
        <v>1565</v>
      </c>
      <c r="B67" s="6" t="s">
        <v>1566</v>
      </c>
      <c r="C67" s="6" t="s">
        <v>1567</v>
      </c>
      <c r="D67" s="6" t="s">
        <v>240</v>
      </c>
      <c r="E67" s="6" t="s">
        <v>1557</v>
      </c>
      <c r="F67" s="6" t="s">
        <v>252</v>
      </c>
      <c r="G67" s="6" t="s">
        <v>1185</v>
      </c>
      <c r="H67" s="6" t="s">
        <v>1568</v>
      </c>
      <c r="I67" s="6" t="s">
        <v>1569</v>
      </c>
      <c r="J67" s="6" t="s">
        <v>1570</v>
      </c>
      <c r="K67" s="6" t="s">
        <v>1571</v>
      </c>
      <c r="L67" s="6" t="s">
        <v>45</v>
      </c>
      <c r="M67" s="20" t="s">
        <v>243</v>
      </c>
      <c r="N67" s="21" t="s">
        <v>247</v>
      </c>
      <c r="O67" s="23" t="s">
        <v>257</v>
      </c>
      <c r="P67" s="6" t="s">
        <v>1572</v>
      </c>
      <c r="Q67" s="6" t="s">
        <v>1573</v>
      </c>
      <c r="R67" s="4"/>
      <c r="S67" s="4"/>
      <c r="T67" s="4"/>
      <c r="U67" s="4"/>
      <c r="V67" s="4"/>
      <c r="W67" s="4"/>
      <c r="X67" s="4"/>
      <c r="Y67" s="4"/>
      <c r="Z67" s="4"/>
    </row>
    <row r="68" ht="86.25" customHeight="1">
      <c r="A68" s="6" t="s">
        <v>1574</v>
      </c>
      <c r="B68" s="6" t="s">
        <v>1575</v>
      </c>
      <c r="C68" s="6" t="s">
        <v>1576</v>
      </c>
      <c r="D68" s="6" t="s">
        <v>240</v>
      </c>
      <c r="E68" s="6" t="s">
        <v>1353</v>
      </c>
      <c r="F68" s="6" t="s">
        <v>251</v>
      </c>
      <c r="G68" s="6" t="s">
        <v>1577</v>
      </c>
      <c r="H68" s="6" t="s">
        <v>1578</v>
      </c>
      <c r="I68" s="6" t="s">
        <v>1579</v>
      </c>
      <c r="J68" s="6" t="s">
        <v>1580</v>
      </c>
      <c r="K68" s="6" t="s">
        <v>1581</v>
      </c>
      <c r="L68" s="6" t="s">
        <v>45</v>
      </c>
      <c r="M68" s="20" t="s">
        <v>243</v>
      </c>
      <c r="N68" s="21" t="s">
        <v>247</v>
      </c>
      <c r="O68" s="32" t="s">
        <v>259</v>
      </c>
      <c r="P68" s="6" t="s">
        <v>1582</v>
      </c>
      <c r="Q68" s="6" t="s">
        <v>1583</v>
      </c>
      <c r="R68" s="4"/>
      <c r="S68" s="4"/>
      <c r="T68" s="4"/>
      <c r="U68" s="4"/>
      <c r="V68" s="4"/>
      <c r="W68" s="4"/>
      <c r="X68" s="4"/>
      <c r="Y68" s="4"/>
      <c r="Z68" s="4"/>
    </row>
    <row r="69" ht="63.75" hidden="1" customHeight="1">
      <c r="A69" s="6" t="s">
        <v>1584</v>
      </c>
      <c r="B69" s="6" t="s">
        <v>1585</v>
      </c>
      <c r="C69" s="6" t="s">
        <v>1586</v>
      </c>
      <c r="D69" s="6" t="s">
        <v>240</v>
      </c>
      <c r="E69" s="6" t="s">
        <v>1353</v>
      </c>
      <c r="F69" s="6" t="s">
        <v>252</v>
      </c>
      <c r="G69" s="6" t="s">
        <v>1587</v>
      </c>
      <c r="H69" s="6" t="s">
        <v>1588</v>
      </c>
      <c r="I69" s="6" t="s">
        <v>1579</v>
      </c>
      <c r="J69" s="6" t="s">
        <v>1589</v>
      </c>
      <c r="K69" s="6" t="s">
        <v>1590</v>
      </c>
      <c r="L69" s="6" t="s">
        <v>45</v>
      </c>
      <c r="M69" s="8" t="s">
        <v>244</v>
      </c>
      <c r="N69" s="21" t="s">
        <v>247</v>
      </c>
      <c r="O69" s="32" t="s">
        <v>259</v>
      </c>
      <c r="P69" s="6" t="s">
        <v>1591</v>
      </c>
      <c r="Q69" s="6" t="s">
        <v>1583</v>
      </c>
      <c r="R69" s="4"/>
      <c r="S69" s="4"/>
      <c r="T69" s="4"/>
      <c r="U69" s="4"/>
      <c r="V69" s="4"/>
      <c r="W69" s="4"/>
      <c r="X69" s="4"/>
      <c r="Y69" s="4"/>
      <c r="Z69" s="4"/>
    </row>
    <row r="70" ht="80.25" customHeight="1">
      <c r="A70" s="6" t="s">
        <v>1592</v>
      </c>
      <c r="B70" s="6" t="s">
        <v>1593</v>
      </c>
      <c r="C70" s="6" t="s">
        <v>1594</v>
      </c>
      <c r="D70" s="6" t="s">
        <v>240</v>
      </c>
      <c r="E70" s="6" t="s">
        <v>1595</v>
      </c>
      <c r="F70" s="6" t="s">
        <v>252</v>
      </c>
      <c r="G70" s="6" t="s">
        <v>1596</v>
      </c>
      <c r="H70" s="6" t="s">
        <v>1597</v>
      </c>
      <c r="I70" s="6" t="s">
        <v>1598</v>
      </c>
      <c r="J70" s="6" t="s">
        <v>1599</v>
      </c>
      <c r="K70" s="6" t="s">
        <v>1600</v>
      </c>
      <c r="L70" s="6" t="s">
        <v>45</v>
      </c>
      <c r="M70" s="20" t="s">
        <v>243</v>
      </c>
      <c r="N70" s="21" t="s">
        <v>247</v>
      </c>
      <c r="O70" s="23" t="s">
        <v>257</v>
      </c>
      <c r="P70" s="6" t="s">
        <v>1601</v>
      </c>
      <c r="Q70" s="6" t="s">
        <v>861</v>
      </c>
      <c r="R70" s="4"/>
      <c r="S70" s="4"/>
      <c r="T70" s="4"/>
      <c r="U70" s="4"/>
      <c r="V70" s="4"/>
      <c r="W70" s="4"/>
      <c r="X70" s="4"/>
      <c r="Y70" s="4"/>
      <c r="Z70" s="4"/>
    </row>
    <row r="71" ht="139.5" hidden="1" customHeight="1">
      <c r="A71" s="6" t="s">
        <v>1602</v>
      </c>
      <c r="B71" s="6" t="s">
        <v>1603</v>
      </c>
      <c r="C71" s="6" t="s">
        <v>1604</v>
      </c>
      <c r="D71" s="6" t="s">
        <v>240</v>
      </c>
      <c r="E71" s="6" t="s">
        <v>1595</v>
      </c>
      <c r="F71" s="6" t="s">
        <v>252</v>
      </c>
      <c r="G71" s="6" t="s">
        <v>1605</v>
      </c>
      <c r="H71" s="6" t="s">
        <v>1606</v>
      </c>
      <c r="I71" s="6" t="s">
        <v>1607</v>
      </c>
      <c r="J71" s="6" t="s">
        <v>1608</v>
      </c>
      <c r="K71" s="6" t="s">
        <v>1609</v>
      </c>
      <c r="L71" s="6" t="s">
        <v>45</v>
      </c>
      <c r="M71" s="8" t="s">
        <v>244</v>
      </c>
      <c r="N71" s="21" t="s">
        <v>247</v>
      </c>
      <c r="O71" s="32" t="s">
        <v>259</v>
      </c>
      <c r="P71" s="6" t="s">
        <v>1610</v>
      </c>
      <c r="Q71" s="6" t="s">
        <v>1611</v>
      </c>
      <c r="R71" s="4"/>
      <c r="S71" s="4"/>
      <c r="T71" s="4"/>
      <c r="U71" s="4"/>
      <c r="V71" s="4"/>
      <c r="W71" s="4"/>
      <c r="X71" s="4"/>
      <c r="Y71" s="4"/>
      <c r="Z71" s="4"/>
    </row>
    <row r="72" ht="99.0" hidden="1" customHeight="1">
      <c r="A72" s="6" t="s">
        <v>1612</v>
      </c>
      <c r="B72" s="6" t="s">
        <v>1613</v>
      </c>
      <c r="C72" s="6" t="s">
        <v>1614</v>
      </c>
      <c r="D72" s="6" t="s">
        <v>240</v>
      </c>
      <c r="E72" s="6" t="s">
        <v>1615</v>
      </c>
      <c r="F72" s="6" t="s">
        <v>253</v>
      </c>
      <c r="G72" s="6" t="s">
        <v>1185</v>
      </c>
      <c r="H72" s="6" t="s">
        <v>1616</v>
      </c>
      <c r="I72" s="6" t="s">
        <v>1617</v>
      </c>
      <c r="J72" s="6" t="s">
        <v>1618</v>
      </c>
      <c r="K72" s="6" t="s">
        <v>1619</v>
      </c>
      <c r="L72" s="6" t="s">
        <v>45</v>
      </c>
      <c r="M72" s="8" t="s">
        <v>244</v>
      </c>
      <c r="N72" s="35" t="s">
        <v>248</v>
      </c>
      <c r="O72" s="32" t="s">
        <v>259</v>
      </c>
      <c r="P72" s="6" t="s">
        <v>1620</v>
      </c>
      <c r="Q72" s="6" t="s">
        <v>1621</v>
      </c>
      <c r="R72" s="4"/>
      <c r="S72" s="4"/>
      <c r="T72" s="4"/>
      <c r="U72" s="4"/>
      <c r="V72" s="4"/>
      <c r="W72" s="4"/>
      <c r="X72" s="4"/>
      <c r="Y72" s="4"/>
      <c r="Z72" s="4"/>
    </row>
    <row r="73" ht="139.5" customHeight="1">
      <c r="A73" s="6" t="s">
        <v>1622</v>
      </c>
      <c r="B73" s="6" t="s">
        <v>1623</v>
      </c>
      <c r="C73" s="6" t="s">
        <v>1624</v>
      </c>
      <c r="D73" s="6" t="s">
        <v>240</v>
      </c>
      <c r="E73" s="6" t="s">
        <v>1625</v>
      </c>
      <c r="F73" s="6" t="s">
        <v>252</v>
      </c>
      <c r="G73" s="6" t="s">
        <v>1185</v>
      </c>
      <c r="H73" s="6" t="s">
        <v>1626</v>
      </c>
      <c r="I73" s="6" t="s">
        <v>1627</v>
      </c>
      <c r="J73" s="6" t="s">
        <v>1628</v>
      </c>
      <c r="K73" s="6" t="s">
        <v>1629</v>
      </c>
      <c r="L73" s="6" t="s">
        <v>45</v>
      </c>
      <c r="M73" s="20" t="s">
        <v>243</v>
      </c>
      <c r="N73" s="21" t="s">
        <v>247</v>
      </c>
      <c r="O73" s="32" t="s">
        <v>259</v>
      </c>
      <c r="P73" s="6" t="s">
        <v>1630</v>
      </c>
      <c r="Q73" s="6" t="s">
        <v>1631</v>
      </c>
      <c r="R73" s="4"/>
      <c r="S73" s="4"/>
      <c r="T73" s="4"/>
      <c r="U73" s="4"/>
      <c r="V73" s="4"/>
      <c r="W73" s="4"/>
      <c r="X73" s="4"/>
      <c r="Y73" s="4"/>
      <c r="Z73" s="4"/>
    </row>
    <row r="74" ht="100.5" hidden="1" customHeight="1">
      <c r="A74" s="6" t="s">
        <v>1632</v>
      </c>
      <c r="B74" s="6" t="s">
        <v>1633</v>
      </c>
      <c r="C74" s="6" t="s">
        <v>1634</v>
      </c>
      <c r="D74" s="6" t="s">
        <v>240</v>
      </c>
      <c r="E74" s="6" t="s">
        <v>1625</v>
      </c>
      <c r="F74" s="6" t="s">
        <v>253</v>
      </c>
      <c r="G74" s="6" t="s">
        <v>1185</v>
      </c>
      <c r="H74" s="6" t="s">
        <v>1635</v>
      </c>
      <c r="I74" s="6" t="s">
        <v>1636</v>
      </c>
      <c r="J74" s="6" t="s">
        <v>1637</v>
      </c>
      <c r="K74" s="6" t="s">
        <v>1638</v>
      </c>
      <c r="L74" s="6" t="s">
        <v>45</v>
      </c>
      <c r="M74" s="8" t="s">
        <v>244</v>
      </c>
      <c r="N74" s="21" t="s">
        <v>247</v>
      </c>
      <c r="O74" s="37" t="s">
        <v>256</v>
      </c>
      <c r="P74" s="6" t="s">
        <v>1639</v>
      </c>
      <c r="Q74" s="6" t="s">
        <v>1640</v>
      </c>
      <c r="R74" s="4"/>
      <c r="S74" s="4"/>
      <c r="T74" s="4"/>
      <c r="U74" s="4"/>
      <c r="V74" s="4"/>
      <c r="W74" s="4"/>
      <c r="X74" s="4"/>
      <c r="Y74" s="4"/>
      <c r="Z74" s="4"/>
    </row>
    <row r="75" ht="96.75" hidden="1" customHeight="1">
      <c r="A75" s="6" t="s">
        <v>1641</v>
      </c>
      <c r="B75" s="6" t="s">
        <v>1642</v>
      </c>
      <c r="C75" s="6" t="s">
        <v>1643</v>
      </c>
      <c r="D75" s="6" t="s">
        <v>240</v>
      </c>
      <c r="E75" s="6" t="s">
        <v>1644</v>
      </c>
      <c r="F75" s="6" t="s">
        <v>252</v>
      </c>
      <c r="G75" s="6" t="s">
        <v>1645</v>
      </c>
      <c r="H75" s="6" t="s">
        <v>1646</v>
      </c>
      <c r="I75" s="6" t="s">
        <v>1647</v>
      </c>
      <c r="J75" s="6" t="s">
        <v>1648</v>
      </c>
      <c r="K75" s="6" t="s">
        <v>1649</v>
      </c>
      <c r="L75" s="6" t="s">
        <v>45</v>
      </c>
      <c r="M75" s="8" t="s">
        <v>244</v>
      </c>
      <c r="N75" s="21" t="s">
        <v>247</v>
      </c>
      <c r="O75" s="32" t="s">
        <v>259</v>
      </c>
      <c r="P75" s="6" t="s">
        <v>1650</v>
      </c>
      <c r="Q75" s="6" t="s">
        <v>1651</v>
      </c>
      <c r="R75" s="4"/>
      <c r="S75" s="4"/>
      <c r="T75" s="4"/>
      <c r="U75" s="4"/>
      <c r="V75" s="4"/>
      <c r="W75" s="4"/>
      <c r="X75" s="4"/>
      <c r="Y75" s="4"/>
      <c r="Z75" s="4"/>
    </row>
    <row r="76" ht="139.5" customHeight="1">
      <c r="A76" s="6" t="s">
        <v>1652</v>
      </c>
      <c r="B76" s="6" t="s">
        <v>1653</v>
      </c>
      <c r="C76" s="6" t="s">
        <v>1654</v>
      </c>
      <c r="D76" s="6" t="s">
        <v>240</v>
      </c>
      <c r="E76" s="6" t="s">
        <v>1644</v>
      </c>
      <c r="F76" s="6" t="s">
        <v>252</v>
      </c>
      <c r="G76" s="6" t="s">
        <v>1645</v>
      </c>
      <c r="H76" s="6" t="s">
        <v>1655</v>
      </c>
      <c r="I76" s="6" t="s">
        <v>1656</v>
      </c>
      <c r="J76" s="6" t="s">
        <v>1657</v>
      </c>
      <c r="K76" s="6" t="s">
        <v>1658</v>
      </c>
      <c r="L76" s="6" t="s">
        <v>45</v>
      </c>
      <c r="M76" s="20" t="s">
        <v>243</v>
      </c>
      <c r="N76" s="21" t="s">
        <v>247</v>
      </c>
      <c r="O76" s="36" t="s">
        <v>258</v>
      </c>
      <c r="P76" s="6" t="s">
        <v>1659</v>
      </c>
      <c r="Q76" s="6" t="s">
        <v>1660</v>
      </c>
      <c r="R76" s="4"/>
      <c r="S76" s="4"/>
      <c r="T76" s="4"/>
      <c r="U76" s="4"/>
      <c r="V76" s="4"/>
      <c r="W76" s="4"/>
      <c r="X76" s="4"/>
      <c r="Y76" s="4"/>
      <c r="Z76" s="4"/>
    </row>
    <row r="77" ht="122.25" customHeight="1">
      <c r="A77" s="6" t="s">
        <v>1661</v>
      </c>
      <c r="B77" s="6" t="s">
        <v>1662</v>
      </c>
      <c r="C77" s="6" t="s">
        <v>1663</v>
      </c>
      <c r="D77" s="6" t="s">
        <v>240</v>
      </c>
      <c r="E77" s="6" t="s">
        <v>1664</v>
      </c>
      <c r="F77" s="6" t="s">
        <v>253</v>
      </c>
      <c r="G77" s="6" t="s">
        <v>1185</v>
      </c>
      <c r="H77" s="6" t="s">
        <v>1665</v>
      </c>
      <c r="I77" s="6" t="s">
        <v>1666</v>
      </c>
      <c r="J77" s="6" t="s">
        <v>1667</v>
      </c>
      <c r="K77" s="6" t="s">
        <v>1668</v>
      </c>
      <c r="L77" s="6" t="s">
        <v>45</v>
      </c>
      <c r="M77" s="20" t="s">
        <v>243</v>
      </c>
      <c r="N77" s="21" t="s">
        <v>247</v>
      </c>
      <c r="O77" s="36" t="s">
        <v>258</v>
      </c>
      <c r="P77" s="6" t="s">
        <v>1669</v>
      </c>
      <c r="Q77" s="6" t="s">
        <v>1670</v>
      </c>
      <c r="R77" s="4"/>
      <c r="S77" s="4"/>
      <c r="T77" s="4"/>
      <c r="U77" s="4"/>
      <c r="V77" s="4"/>
      <c r="W77" s="4"/>
      <c r="X77" s="4"/>
      <c r="Y77" s="4"/>
      <c r="Z77" s="4"/>
    </row>
    <row r="78" ht="87.0" hidden="1" customHeight="1">
      <c r="A78" s="6" t="s">
        <v>1671</v>
      </c>
      <c r="B78" s="6" t="s">
        <v>1672</v>
      </c>
      <c r="C78" s="6" t="s">
        <v>1673</v>
      </c>
      <c r="D78" s="6" t="s">
        <v>240</v>
      </c>
      <c r="E78" s="6" t="s">
        <v>1674</v>
      </c>
      <c r="F78" s="6" t="s">
        <v>253</v>
      </c>
      <c r="G78" s="6" t="s">
        <v>1675</v>
      </c>
      <c r="H78" s="6" t="s">
        <v>1676</v>
      </c>
      <c r="I78" s="6" t="s">
        <v>1677</v>
      </c>
      <c r="J78" s="6" t="s">
        <v>1678</v>
      </c>
      <c r="K78" s="6" t="s">
        <v>1679</v>
      </c>
      <c r="L78" s="6" t="s">
        <v>45</v>
      </c>
      <c r="M78" s="8" t="s">
        <v>244</v>
      </c>
      <c r="N78" s="21" t="s">
        <v>247</v>
      </c>
      <c r="O78" s="37" t="s">
        <v>256</v>
      </c>
      <c r="P78" s="6" t="s">
        <v>1680</v>
      </c>
      <c r="Q78" s="6" t="s">
        <v>1681</v>
      </c>
      <c r="R78" s="4"/>
      <c r="S78" s="4"/>
      <c r="T78" s="4"/>
      <c r="U78" s="4"/>
      <c r="V78" s="4"/>
      <c r="W78" s="4"/>
      <c r="X78" s="4"/>
      <c r="Y78" s="4"/>
      <c r="Z78" s="4"/>
    </row>
    <row r="79" ht="139.5" hidden="1" customHeight="1">
      <c r="A79" s="6" t="s">
        <v>1682</v>
      </c>
      <c r="B79" s="6" t="s">
        <v>1683</v>
      </c>
      <c r="C79" s="6" t="s">
        <v>1684</v>
      </c>
      <c r="D79" s="6" t="s">
        <v>240</v>
      </c>
      <c r="E79" s="6" t="s">
        <v>1685</v>
      </c>
      <c r="F79" s="6" t="s">
        <v>252</v>
      </c>
      <c r="G79" s="6" t="s">
        <v>1686</v>
      </c>
      <c r="H79" s="6" t="s">
        <v>1687</v>
      </c>
      <c r="I79" s="6" t="s">
        <v>1688</v>
      </c>
      <c r="J79" s="6" t="s">
        <v>1689</v>
      </c>
      <c r="K79" s="6" t="s">
        <v>1690</v>
      </c>
      <c r="L79" s="6" t="s">
        <v>45</v>
      </c>
      <c r="M79" s="8" t="s">
        <v>244</v>
      </c>
      <c r="N79" s="21" t="s">
        <v>247</v>
      </c>
      <c r="O79" s="32" t="s">
        <v>259</v>
      </c>
      <c r="P79" s="6" t="s">
        <v>1691</v>
      </c>
      <c r="Q79" s="6" t="s">
        <v>1692</v>
      </c>
      <c r="R79" s="4"/>
      <c r="S79" s="4"/>
      <c r="T79" s="4"/>
      <c r="U79" s="4"/>
      <c r="V79" s="4"/>
      <c r="W79" s="4"/>
      <c r="X79" s="4"/>
      <c r="Y79" s="4"/>
      <c r="Z79" s="4"/>
    </row>
    <row r="80" ht="123.75" hidden="1" customHeight="1">
      <c r="A80" s="6" t="s">
        <v>1693</v>
      </c>
      <c r="B80" s="6" t="s">
        <v>1694</v>
      </c>
      <c r="C80" s="6" t="s">
        <v>1695</v>
      </c>
      <c r="D80" s="6" t="s">
        <v>240</v>
      </c>
      <c r="E80" s="6" t="s">
        <v>1696</v>
      </c>
      <c r="F80" s="6" t="s">
        <v>252</v>
      </c>
      <c r="G80" s="6" t="s">
        <v>1697</v>
      </c>
      <c r="H80" s="6" t="s">
        <v>1698</v>
      </c>
      <c r="I80" s="6" t="s">
        <v>1699</v>
      </c>
      <c r="J80" s="6" t="s">
        <v>1700</v>
      </c>
      <c r="K80" s="6" t="s">
        <v>1701</v>
      </c>
      <c r="L80" s="6" t="s">
        <v>1702</v>
      </c>
      <c r="M80" s="8" t="s">
        <v>244</v>
      </c>
      <c r="N80" s="35" t="s">
        <v>248</v>
      </c>
      <c r="O80" s="32" t="s">
        <v>259</v>
      </c>
      <c r="P80" s="6" t="s">
        <v>1703</v>
      </c>
      <c r="Q80" s="6" t="s">
        <v>1704</v>
      </c>
      <c r="R80" s="4"/>
      <c r="S80" s="4"/>
      <c r="T80" s="4"/>
      <c r="U80" s="4"/>
      <c r="V80" s="4"/>
      <c r="W80" s="4"/>
      <c r="X80" s="4"/>
      <c r="Y80" s="4"/>
      <c r="Z80" s="4"/>
    </row>
    <row r="81" ht="126.0" hidden="1" customHeight="1">
      <c r="A81" s="6" t="s">
        <v>1705</v>
      </c>
      <c r="B81" s="6" t="s">
        <v>1706</v>
      </c>
      <c r="C81" s="6" t="s">
        <v>1707</v>
      </c>
      <c r="D81" s="6" t="s">
        <v>240</v>
      </c>
      <c r="E81" s="6" t="s">
        <v>1696</v>
      </c>
      <c r="F81" s="6" t="s">
        <v>252</v>
      </c>
      <c r="G81" s="6" t="s">
        <v>1708</v>
      </c>
      <c r="H81" s="6" t="s">
        <v>1709</v>
      </c>
      <c r="I81" s="6" t="s">
        <v>1699</v>
      </c>
      <c r="J81" s="6" t="s">
        <v>1710</v>
      </c>
      <c r="K81" s="6" t="s">
        <v>1711</v>
      </c>
      <c r="L81" s="6" t="s">
        <v>1712</v>
      </c>
      <c r="M81" s="8" t="s">
        <v>244</v>
      </c>
      <c r="N81" s="35" t="s">
        <v>248</v>
      </c>
      <c r="O81" s="32" t="s">
        <v>259</v>
      </c>
      <c r="P81" s="6" t="s">
        <v>1713</v>
      </c>
      <c r="Q81" s="6" t="s">
        <v>1714</v>
      </c>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Q$81">
    <filterColumn colId="12">
      <filters>
        <filter val="Smoke"/>
      </filters>
    </filterColumn>
  </autoFilter>
  <dataValidations>
    <dataValidation type="list" allowBlank="1" sqref="M2:M81">
      <formula1>"Smoke ,Regression"</formula1>
    </dataValidation>
    <dataValidation type="list" allowBlank="1" sqref="N2:N81">
      <formula1>"Automation,Manual"</formula1>
    </dataValidation>
    <dataValidation type="list" allowBlank="1" sqref="O2:O11">
      <formula1>"Not Executed,Passed,Failed,Blocked"</formula1>
    </dataValidation>
  </dataValidations>
  <hyperlinks>
    <hyperlink r:id="rId1" ref="H8"/>
    <hyperlink r:id="rId2" ref="H9"/>
    <hyperlink r:id="rId3" ref="I12"/>
    <hyperlink r:id="rId4" ref="H13"/>
    <hyperlink r:id="rId5" ref="H16"/>
    <hyperlink r:id="rId6" ref="H18"/>
    <hyperlink r:id="rId7" ref="H20"/>
    <hyperlink r:id="rId8" ref="H21"/>
    <hyperlink r:id="rId9" ref="H24"/>
    <hyperlink r:id="rId10" ref="H35"/>
    <hyperlink r:id="rId11" ref="I35"/>
    <hyperlink r:id="rId12" ref="H36"/>
    <hyperlink r:id="rId13" ref="I38"/>
    <hyperlink r:id="rId14" ref="I39"/>
    <hyperlink r:id="rId15" ref="I40"/>
    <hyperlink r:id="rId16" ref="I54"/>
  </hyperlinks>
  <printOptions/>
  <pageMargins bottom="1.0" footer="0.0" header="0.0" left="0.75" right="0.75" top="1.0"/>
  <pageSetup paperSize="9" orientation="portrait"/>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0.0"/>
    <col customWidth="1" min="8" max="8" width="32.0"/>
    <col customWidth="1" min="9" max="9" width="34.0"/>
    <col customWidth="1" min="10" max="10" width="55.0"/>
    <col customWidth="1" min="11" max="11" width="45.0"/>
    <col customWidth="1" min="12" max="12" width="30.0"/>
    <col customWidth="1" min="13" max="13" width="12.0"/>
    <col customWidth="1" min="14" max="14" width="13.0"/>
    <col customWidth="1" min="15" max="15" width="14.0"/>
  </cols>
  <sheetData>
    <row r="1" ht="19.5" customHeight="1">
      <c r="A1" s="18" t="s">
        <v>264</v>
      </c>
      <c r="B1" s="18" t="s">
        <v>265</v>
      </c>
      <c r="C1" s="19" t="s">
        <v>266</v>
      </c>
      <c r="D1" s="18" t="s">
        <v>236</v>
      </c>
      <c r="E1" s="18" t="s">
        <v>267</v>
      </c>
      <c r="F1" s="18" t="s">
        <v>250</v>
      </c>
      <c r="G1" s="18" t="s">
        <v>268</v>
      </c>
      <c r="H1" s="18" t="s">
        <v>269</v>
      </c>
      <c r="I1" s="18" t="s">
        <v>270</v>
      </c>
      <c r="J1" s="18" t="s">
        <v>271</v>
      </c>
      <c r="K1" s="18" t="s">
        <v>272</v>
      </c>
      <c r="L1" s="18" t="s">
        <v>273</v>
      </c>
      <c r="M1" s="18" t="s">
        <v>242</v>
      </c>
      <c r="N1" s="18" t="s">
        <v>246</v>
      </c>
      <c r="O1" s="18" t="s">
        <v>255</v>
      </c>
      <c r="P1" s="4"/>
      <c r="Q1" s="4"/>
      <c r="R1" s="4"/>
      <c r="S1" s="4"/>
      <c r="T1" s="4"/>
      <c r="U1" s="4"/>
      <c r="V1" s="4"/>
      <c r="W1" s="4"/>
      <c r="X1" s="4"/>
      <c r="Y1" s="4"/>
      <c r="Z1" s="4"/>
    </row>
    <row r="2" ht="69.75" customHeight="1">
      <c r="A2" s="6" t="s">
        <v>1162</v>
      </c>
      <c r="B2" s="6" t="s">
        <v>1163</v>
      </c>
      <c r="C2" s="6" t="s">
        <v>1164</v>
      </c>
      <c r="D2" s="6" t="s">
        <v>240</v>
      </c>
      <c r="E2" s="6" t="s">
        <v>277</v>
      </c>
      <c r="F2" s="6" t="s">
        <v>251</v>
      </c>
      <c r="G2" s="6" t="s">
        <v>1165</v>
      </c>
      <c r="H2" s="6" t="s">
        <v>1166</v>
      </c>
      <c r="I2" s="6" t="s">
        <v>1167</v>
      </c>
      <c r="J2" s="6" t="s">
        <v>1168</v>
      </c>
      <c r="K2" s="6" t="s">
        <v>1169</v>
      </c>
      <c r="L2" s="6" t="s">
        <v>45</v>
      </c>
      <c r="M2" s="20" t="s">
        <v>243</v>
      </c>
      <c r="N2" s="21" t="s">
        <v>247</v>
      </c>
      <c r="O2" s="22" t="s">
        <v>256</v>
      </c>
      <c r="P2" s="4"/>
      <c r="Q2" s="4"/>
      <c r="R2" s="4"/>
      <c r="S2" s="4"/>
      <c r="T2" s="4"/>
      <c r="U2" s="4"/>
      <c r="V2" s="4"/>
      <c r="W2" s="4"/>
      <c r="X2" s="4"/>
      <c r="Y2" s="4"/>
      <c r="Z2" s="4"/>
    </row>
    <row r="3" ht="54.75" customHeight="1">
      <c r="A3" s="6" t="s">
        <v>1172</v>
      </c>
      <c r="B3" s="6" t="s">
        <v>1173</v>
      </c>
      <c r="C3" s="6" t="s">
        <v>1174</v>
      </c>
      <c r="D3" s="6" t="s">
        <v>240</v>
      </c>
      <c r="E3" s="6" t="s">
        <v>277</v>
      </c>
      <c r="F3" s="6" t="s">
        <v>252</v>
      </c>
      <c r="G3" s="6" t="s">
        <v>1175</v>
      </c>
      <c r="H3" s="6" t="s">
        <v>1177</v>
      </c>
      <c r="I3" s="6" t="s">
        <v>1178</v>
      </c>
      <c r="J3" s="6" t="s">
        <v>1179</v>
      </c>
      <c r="K3" s="6" t="s">
        <v>1180</v>
      </c>
      <c r="L3" s="6" t="s">
        <v>45</v>
      </c>
      <c r="M3" s="8" t="s">
        <v>244</v>
      </c>
      <c r="N3" s="35" t="s">
        <v>248</v>
      </c>
      <c r="O3" s="22" t="s">
        <v>256</v>
      </c>
      <c r="P3" s="4"/>
      <c r="Q3" s="4"/>
      <c r="R3" s="4"/>
      <c r="S3" s="4"/>
      <c r="T3" s="4"/>
      <c r="U3" s="4"/>
      <c r="V3" s="4"/>
      <c r="W3" s="4"/>
      <c r="X3" s="4"/>
      <c r="Y3" s="4"/>
      <c r="Z3" s="4"/>
    </row>
    <row r="4" ht="55.5" customHeight="1">
      <c r="A4" s="6" t="s">
        <v>1186</v>
      </c>
      <c r="B4" s="6" t="s">
        <v>1187</v>
      </c>
      <c r="C4" s="6" t="s">
        <v>1189</v>
      </c>
      <c r="D4" s="6" t="s">
        <v>240</v>
      </c>
      <c r="E4" s="6" t="s">
        <v>277</v>
      </c>
      <c r="F4" s="6" t="s">
        <v>252</v>
      </c>
      <c r="G4" s="6" t="s">
        <v>1191</v>
      </c>
      <c r="H4" s="6" t="s">
        <v>1193</v>
      </c>
      <c r="I4" s="6" t="s">
        <v>1178</v>
      </c>
      <c r="J4" s="6" t="s">
        <v>1194</v>
      </c>
      <c r="K4" s="6" t="s">
        <v>1195</v>
      </c>
      <c r="L4" s="6" t="s">
        <v>45</v>
      </c>
      <c r="M4" s="8" t="s">
        <v>244</v>
      </c>
      <c r="N4" s="35" t="s">
        <v>248</v>
      </c>
      <c r="O4" s="22" t="s">
        <v>256</v>
      </c>
      <c r="P4" s="4"/>
      <c r="Q4" s="4"/>
      <c r="R4" s="4"/>
      <c r="S4" s="4"/>
      <c r="T4" s="4"/>
      <c r="U4" s="4"/>
      <c r="V4" s="4"/>
      <c r="W4" s="4"/>
      <c r="X4" s="4"/>
      <c r="Y4" s="4"/>
      <c r="Z4" s="4"/>
    </row>
    <row r="5" ht="39.0" customHeight="1">
      <c r="A5" s="6" t="s">
        <v>1197</v>
      </c>
      <c r="B5" s="6" t="s">
        <v>1198</v>
      </c>
      <c r="C5" s="6" t="s">
        <v>1199</v>
      </c>
      <c r="D5" s="6" t="s">
        <v>240</v>
      </c>
      <c r="E5" s="6" t="s">
        <v>1201</v>
      </c>
      <c r="F5" s="6" t="s">
        <v>252</v>
      </c>
      <c r="G5" s="6" t="s">
        <v>1185</v>
      </c>
      <c r="H5" s="6" t="s">
        <v>1203</v>
      </c>
      <c r="I5" s="6" t="s">
        <v>1205</v>
      </c>
      <c r="J5" s="6" t="s">
        <v>1206</v>
      </c>
      <c r="K5" s="6" t="s">
        <v>1207</v>
      </c>
      <c r="L5" s="6" t="s">
        <v>45</v>
      </c>
      <c r="M5" s="20" t="s">
        <v>243</v>
      </c>
      <c r="N5" s="21" t="s">
        <v>247</v>
      </c>
      <c r="O5" s="22" t="s">
        <v>256</v>
      </c>
      <c r="P5" s="4"/>
      <c r="Q5" s="4"/>
      <c r="R5" s="4"/>
      <c r="S5" s="4"/>
      <c r="T5" s="4"/>
      <c r="U5" s="4"/>
      <c r="V5" s="4"/>
      <c r="W5" s="4"/>
      <c r="X5" s="4"/>
      <c r="Y5" s="4"/>
      <c r="Z5" s="4"/>
    </row>
    <row r="6" ht="68.25" customHeight="1">
      <c r="A6" s="6" t="s">
        <v>1211</v>
      </c>
      <c r="B6" s="6" t="s">
        <v>1212</v>
      </c>
      <c r="C6" s="6" t="s">
        <v>1214</v>
      </c>
      <c r="D6" s="6" t="s">
        <v>240</v>
      </c>
      <c r="E6" s="6" t="s">
        <v>1215</v>
      </c>
      <c r="F6" s="6" t="s">
        <v>252</v>
      </c>
      <c r="G6" s="6" t="s">
        <v>1216</v>
      </c>
      <c r="H6" s="6" t="s">
        <v>1217</v>
      </c>
      <c r="I6" s="6" t="s">
        <v>1205</v>
      </c>
      <c r="J6" s="6" t="s">
        <v>1218</v>
      </c>
      <c r="K6" s="6" t="s">
        <v>1219</v>
      </c>
      <c r="L6" s="6" t="s">
        <v>45</v>
      </c>
      <c r="M6" s="20" t="s">
        <v>243</v>
      </c>
      <c r="N6" s="21" t="s">
        <v>247</v>
      </c>
      <c r="O6" s="22" t="s">
        <v>256</v>
      </c>
      <c r="P6" s="4"/>
      <c r="Q6" s="4"/>
      <c r="R6" s="4"/>
      <c r="S6" s="4"/>
      <c r="T6" s="4"/>
      <c r="U6" s="4"/>
      <c r="V6" s="4"/>
      <c r="W6" s="4"/>
      <c r="X6" s="4"/>
      <c r="Y6" s="4"/>
      <c r="Z6" s="4"/>
    </row>
    <row r="7" ht="55.5" customHeight="1">
      <c r="A7" s="6" t="s">
        <v>1223</v>
      </c>
      <c r="B7" s="6" t="s">
        <v>1224</v>
      </c>
      <c r="C7" s="6" t="s">
        <v>1226</v>
      </c>
      <c r="D7" s="6" t="s">
        <v>240</v>
      </c>
      <c r="E7" s="6" t="s">
        <v>1227</v>
      </c>
      <c r="F7" s="6" t="s">
        <v>253</v>
      </c>
      <c r="G7" s="6" t="s">
        <v>1228</v>
      </c>
      <c r="H7" s="6" t="s">
        <v>1229</v>
      </c>
      <c r="I7" s="6" t="s">
        <v>1205</v>
      </c>
      <c r="J7" s="6" t="s">
        <v>1231</v>
      </c>
      <c r="K7" s="6" t="s">
        <v>1232</v>
      </c>
      <c r="L7" s="6" t="s">
        <v>45</v>
      </c>
      <c r="M7" s="8" t="s">
        <v>244</v>
      </c>
      <c r="N7" s="35" t="s">
        <v>248</v>
      </c>
      <c r="O7" s="22" t="s">
        <v>256</v>
      </c>
      <c r="P7" s="4"/>
      <c r="Q7" s="4"/>
      <c r="R7" s="4"/>
      <c r="S7" s="4"/>
      <c r="T7" s="4"/>
      <c r="U7" s="4"/>
      <c r="V7" s="4"/>
      <c r="W7" s="4"/>
      <c r="X7" s="4"/>
      <c r="Y7" s="4"/>
      <c r="Z7" s="4"/>
    </row>
    <row r="8" ht="36.75" customHeight="1">
      <c r="A8" s="6" t="s">
        <v>1235</v>
      </c>
      <c r="B8" s="6" t="s">
        <v>1236</v>
      </c>
      <c r="C8" s="6" t="s">
        <v>1237</v>
      </c>
      <c r="D8" s="6" t="s">
        <v>240</v>
      </c>
      <c r="E8" s="6" t="s">
        <v>1238</v>
      </c>
      <c r="F8" s="6" t="s">
        <v>253</v>
      </c>
      <c r="G8" s="6" t="s">
        <v>1185</v>
      </c>
      <c r="H8" s="6" t="s">
        <v>1240</v>
      </c>
      <c r="I8" s="6" t="s">
        <v>1205</v>
      </c>
      <c r="J8" s="6" t="s">
        <v>1242</v>
      </c>
      <c r="K8" s="6" t="s">
        <v>1243</v>
      </c>
      <c r="L8" s="6" t="s">
        <v>45</v>
      </c>
      <c r="M8" s="8" t="s">
        <v>244</v>
      </c>
      <c r="N8" s="35" t="s">
        <v>248</v>
      </c>
      <c r="O8" s="22" t="s">
        <v>256</v>
      </c>
      <c r="P8" s="4"/>
      <c r="Q8" s="4"/>
      <c r="R8" s="4"/>
      <c r="S8" s="4"/>
      <c r="T8" s="4"/>
      <c r="U8" s="4"/>
      <c r="V8" s="4"/>
      <c r="W8" s="4"/>
      <c r="X8" s="4"/>
      <c r="Y8" s="4"/>
      <c r="Z8" s="4"/>
    </row>
    <row r="9" ht="42.75" customHeight="1">
      <c r="A9" s="6" t="s">
        <v>1247</v>
      </c>
      <c r="B9" s="6" t="s">
        <v>1248</v>
      </c>
      <c r="C9" s="6" t="s">
        <v>1249</v>
      </c>
      <c r="D9" s="6" t="s">
        <v>240</v>
      </c>
      <c r="E9" s="6" t="s">
        <v>1250</v>
      </c>
      <c r="F9" s="6" t="s">
        <v>253</v>
      </c>
      <c r="G9" s="6" t="s">
        <v>1185</v>
      </c>
      <c r="H9" s="6" t="s">
        <v>45</v>
      </c>
      <c r="I9" s="6" t="s">
        <v>1205</v>
      </c>
      <c r="J9" s="6" t="s">
        <v>1252</v>
      </c>
      <c r="K9" s="6" t="s">
        <v>1254</v>
      </c>
      <c r="L9" s="6" t="s">
        <v>45</v>
      </c>
      <c r="M9" s="8" t="s">
        <v>244</v>
      </c>
      <c r="N9" s="21" t="s">
        <v>247</v>
      </c>
      <c r="O9" s="22" t="s">
        <v>256</v>
      </c>
      <c r="P9" s="4"/>
      <c r="Q9" s="4"/>
      <c r="R9" s="4"/>
      <c r="S9" s="4"/>
      <c r="T9" s="4"/>
      <c r="U9" s="4"/>
      <c r="V9" s="4"/>
      <c r="W9" s="4"/>
      <c r="X9" s="4"/>
      <c r="Y9" s="4"/>
      <c r="Z9" s="4"/>
    </row>
    <row r="10" ht="33.0" customHeight="1">
      <c r="A10" s="6" t="s">
        <v>1257</v>
      </c>
      <c r="B10" s="6" t="s">
        <v>1258</v>
      </c>
      <c r="C10" s="6" t="s">
        <v>1260</v>
      </c>
      <c r="D10" s="6" t="s">
        <v>240</v>
      </c>
      <c r="E10" s="6" t="s">
        <v>1127</v>
      </c>
      <c r="F10" s="6" t="s">
        <v>251</v>
      </c>
      <c r="G10" s="6" t="s">
        <v>1261</v>
      </c>
      <c r="H10" s="6" t="s">
        <v>1262</v>
      </c>
      <c r="I10" s="6" t="s">
        <v>1264</v>
      </c>
      <c r="J10" s="6" t="s">
        <v>1265</v>
      </c>
      <c r="K10" s="6" t="s">
        <v>1267</v>
      </c>
      <c r="L10" s="6" t="s">
        <v>45</v>
      </c>
      <c r="M10" s="20" t="s">
        <v>243</v>
      </c>
      <c r="N10" s="35" t="s">
        <v>248</v>
      </c>
      <c r="O10" s="22" t="s">
        <v>256</v>
      </c>
      <c r="P10" s="4"/>
      <c r="Q10" s="4"/>
      <c r="R10" s="4"/>
      <c r="S10" s="4"/>
      <c r="T10" s="4"/>
      <c r="U10" s="4"/>
      <c r="V10" s="4"/>
      <c r="W10" s="4"/>
      <c r="X10" s="4"/>
      <c r="Y10" s="4"/>
      <c r="Z10" s="4"/>
    </row>
    <row r="11" ht="41.25" customHeight="1">
      <c r="A11" s="6" t="s">
        <v>1270</v>
      </c>
      <c r="B11" s="6" t="s">
        <v>1271</v>
      </c>
      <c r="C11" s="6" t="s">
        <v>1272</v>
      </c>
      <c r="D11" s="6" t="s">
        <v>240</v>
      </c>
      <c r="E11" s="6" t="s">
        <v>1274</v>
      </c>
      <c r="F11" s="6" t="s">
        <v>252</v>
      </c>
      <c r="G11" s="6" t="s">
        <v>1185</v>
      </c>
      <c r="H11" s="6" t="s">
        <v>45</v>
      </c>
      <c r="I11" s="6" t="s">
        <v>1276</v>
      </c>
      <c r="J11" s="6" t="s">
        <v>1277</v>
      </c>
      <c r="K11" s="6" t="s">
        <v>1278</v>
      </c>
      <c r="L11" s="6" t="s">
        <v>45</v>
      </c>
      <c r="M11" s="20" t="s">
        <v>243</v>
      </c>
      <c r="N11" s="21" t="s">
        <v>247</v>
      </c>
      <c r="O11" s="22" t="s">
        <v>256</v>
      </c>
      <c r="P11" s="4"/>
      <c r="Q11" s="4"/>
      <c r="R11" s="4"/>
      <c r="S11" s="4"/>
      <c r="T11" s="4"/>
      <c r="U11" s="4"/>
      <c r="V11" s="4"/>
      <c r="W11" s="4"/>
      <c r="X11" s="4"/>
      <c r="Y11" s="4"/>
      <c r="Z11" s="4"/>
    </row>
    <row r="12" ht="48.75" customHeight="1">
      <c r="A12" s="6" t="s">
        <v>1281</v>
      </c>
      <c r="B12" s="6" t="s">
        <v>1282</v>
      </c>
      <c r="C12" s="6" t="s">
        <v>1284</v>
      </c>
      <c r="D12" s="6" t="s">
        <v>240</v>
      </c>
      <c r="E12" s="6" t="s">
        <v>1286</v>
      </c>
      <c r="F12" s="6" t="s">
        <v>251</v>
      </c>
      <c r="G12" s="6" t="s">
        <v>1288</v>
      </c>
      <c r="H12" s="6" t="s">
        <v>45</v>
      </c>
      <c r="I12" s="6" t="s">
        <v>1289</v>
      </c>
      <c r="J12" s="6" t="s">
        <v>1290</v>
      </c>
      <c r="K12" s="6" t="s">
        <v>1291</v>
      </c>
      <c r="L12" s="6" t="s">
        <v>45</v>
      </c>
      <c r="M12" s="20" t="s">
        <v>243</v>
      </c>
      <c r="N12" s="21" t="s">
        <v>247</v>
      </c>
      <c r="O12" s="22" t="s">
        <v>256</v>
      </c>
      <c r="P12" s="4"/>
      <c r="Q12" s="4"/>
      <c r="R12" s="4"/>
      <c r="S12" s="4"/>
      <c r="T12" s="4"/>
      <c r="U12" s="4"/>
      <c r="V12" s="4"/>
      <c r="W12" s="4"/>
      <c r="X12" s="4"/>
      <c r="Y12" s="4"/>
      <c r="Z12" s="4"/>
    </row>
    <row r="13" ht="36.0" customHeight="1">
      <c r="A13" s="6" t="s">
        <v>1296</v>
      </c>
      <c r="B13" s="6" t="s">
        <v>1297</v>
      </c>
      <c r="C13" s="6" t="s">
        <v>1298</v>
      </c>
      <c r="D13" s="6" t="s">
        <v>240</v>
      </c>
      <c r="E13" s="6" t="s">
        <v>1299</v>
      </c>
      <c r="F13" s="6" t="s">
        <v>251</v>
      </c>
      <c r="G13" s="6" t="s">
        <v>1261</v>
      </c>
      <c r="H13" s="6" t="s">
        <v>1301</v>
      </c>
      <c r="I13" s="6" t="s">
        <v>1303</v>
      </c>
      <c r="J13" s="6" t="s">
        <v>1304</v>
      </c>
      <c r="K13" s="6" t="s">
        <v>1305</v>
      </c>
      <c r="L13" s="6" t="s">
        <v>45</v>
      </c>
      <c r="M13" s="20" t="s">
        <v>243</v>
      </c>
      <c r="N13" s="21" t="s">
        <v>247</v>
      </c>
      <c r="O13" s="22" t="s">
        <v>256</v>
      </c>
      <c r="P13" s="4"/>
      <c r="Q13" s="4"/>
      <c r="R13" s="4"/>
      <c r="S13" s="4"/>
      <c r="T13" s="4"/>
      <c r="U13" s="4"/>
      <c r="V13" s="4"/>
      <c r="W13" s="4"/>
      <c r="X13" s="4"/>
      <c r="Y13" s="4"/>
      <c r="Z13" s="4"/>
    </row>
    <row r="14" ht="39.75" customHeight="1">
      <c r="A14" s="6" t="s">
        <v>1309</v>
      </c>
      <c r="B14" s="6" t="s">
        <v>1310</v>
      </c>
      <c r="C14" s="6" t="s">
        <v>1311</v>
      </c>
      <c r="D14" s="6" t="s">
        <v>240</v>
      </c>
      <c r="E14" s="6" t="s">
        <v>1094</v>
      </c>
      <c r="F14" s="6" t="s">
        <v>252</v>
      </c>
      <c r="G14" s="6" t="s">
        <v>1313</v>
      </c>
      <c r="H14" s="6" t="s">
        <v>1314</v>
      </c>
      <c r="I14" s="6" t="s">
        <v>1315</v>
      </c>
      <c r="J14" s="6" t="s">
        <v>1317</v>
      </c>
      <c r="K14" s="6" t="s">
        <v>1318</v>
      </c>
      <c r="L14" s="6" t="s">
        <v>45</v>
      </c>
      <c r="M14" s="20" t="s">
        <v>243</v>
      </c>
      <c r="N14" s="21" t="s">
        <v>247</v>
      </c>
      <c r="O14" s="22" t="s">
        <v>256</v>
      </c>
      <c r="P14" s="4"/>
      <c r="Q14" s="4"/>
      <c r="R14" s="4"/>
      <c r="S14" s="4"/>
      <c r="T14" s="4"/>
      <c r="U14" s="4"/>
      <c r="V14" s="4"/>
      <c r="W14" s="4"/>
      <c r="X14" s="4"/>
      <c r="Y14" s="4"/>
      <c r="Z14" s="4"/>
    </row>
    <row r="15" ht="36.75" customHeight="1">
      <c r="A15" s="6" t="s">
        <v>1321</v>
      </c>
      <c r="B15" s="6" t="s">
        <v>1322</v>
      </c>
      <c r="C15" s="6" t="s">
        <v>1323</v>
      </c>
      <c r="D15" s="6" t="s">
        <v>240</v>
      </c>
      <c r="E15" s="6" t="s">
        <v>1184</v>
      </c>
      <c r="F15" s="6" t="s">
        <v>253</v>
      </c>
      <c r="G15" s="6" t="s">
        <v>1185</v>
      </c>
      <c r="H15" s="6" t="s">
        <v>1326</v>
      </c>
      <c r="I15" s="6" t="s">
        <v>1327</v>
      </c>
      <c r="J15" s="6" t="s">
        <v>1328</v>
      </c>
      <c r="K15" s="6" t="s">
        <v>1329</v>
      </c>
      <c r="L15" s="6" t="s">
        <v>45</v>
      </c>
      <c r="M15" s="8" t="s">
        <v>244</v>
      </c>
      <c r="N15" s="21" t="s">
        <v>247</v>
      </c>
      <c r="O15" s="22" t="s">
        <v>256</v>
      </c>
      <c r="P15" s="4"/>
      <c r="Q15" s="4"/>
      <c r="R15" s="4"/>
      <c r="S15" s="4"/>
      <c r="T15" s="4"/>
      <c r="U15" s="4"/>
      <c r="V15" s="4"/>
      <c r="W15" s="4"/>
      <c r="X15" s="4"/>
      <c r="Y15" s="4"/>
      <c r="Z15" s="4"/>
    </row>
    <row r="16" ht="35.25" customHeight="1">
      <c r="A16" s="6" t="s">
        <v>1335</v>
      </c>
      <c r="B16" s="6" t="s">
        <v>1336</v>
      </c>
      <c r="C16" s="6" t="s">
        <v>1338</v>
      </c>
      <c r="D16" s="6" t="s">
        <v>240</v>
      </c>
      <c r="E16" s="6" t="s">
        <v>1333</v>
      </c>
      <c r="F16" s="6" t="s">
        <v>252</v>
      </c>
      <c r="G16" s="6" t="s">
        <v>1341</v>
      </c>
      <c r="H16" s="6" t="s">
        <v>1343</v>
      </c>
      <c r="I16" s="6" t="s">
        <v>1344</v>
      </c>
      <c r="J16" s="6" t="s">
        <v>1345</v>
      </c>
      <c r="K16" s="6" t="s">
        <v>1346</v>
      </c>
      <c r="L16" s="6" t="s">
        <v>45</v>
      </c>
      <c r="M16" s="8" t="s">
        <v>244</v>
      </c>
      <c r="N16" s="21" t="s">
        <v>247</v>
      </c>
      <c r="O16" s="22" t="s">
        <v>256</v>
      </c>
      <c r="P16" s="4"/>
      <c r="Q16" s="4"/>
      <c r="R16" s="4"/>
      <c r="S16" s="4"/>
      <c r="T16" s="4"/>
      <c r="U16" s="4"/>
      <c r="V16" s="4"/>
      <c r="W16" s="4"/>
      <c r="X16" s="4"/>
      <c r="Y16" s="4"/>
      <c r="Z16" s="4"/>
    </row>
    <row r="17" ht="57.75" customHeight="1">
      <c r="A17" s="6" t="s">
        <v>1349</v>
      </c>
      <c r="B17" s="6" t="s">
        <v>1350</v>
      </c>
      <c r="C17" s="6" t="s">
        <v>1351</v>
      </c>
      <c r="D17" s="6" t="s">
        <v>240</v>
      </c>
      <c r="E17" s="6" t="s">
        <v>1353</v>
      </c>
      <c r="F17" s="6" t="s">
        <v>252</v>
      </c>
      <c r="G17" s="6" t="s">
        <v>1355</v>
      </c>
      <c r="H17" s="6" t="s">
        <v>45</v>
      </c>
      <c r="I17" s="6" t="s">
        <v>1357</v>
      </c>
      <c r="J17" s="6" t="s">
        <v>1358</v>
      </c>
      <c r="K17" s="6" t="s">
        <v>1359</v>
      </c>
      <c r="L17" s="6" t="s">
        <v>45</v>
      </c>
      <c r="M17" s="8" t="s">
        <v>244</v>
      </c>
      <c r="N17" s="21" t="s">
        <v>247</v>
      </c>
      <c r="O17" s="22" t="s">
        <v>256</v>
      </c>
      <c r="P17" s="4"/>
      <c r="Q17" s="4"/>
      <c r="R17" s="4"/>
      <c r="S17" s="4"/>
      <c r="T17" s="4"/>
      <c r="U17" s="4"/>
      <c r="V17" s="4"/>
      <c r="W17" s="4"/>
      <c r="X17" s="4"/>
      <c r="Y17" s="4"/>
      <c r="Z17" s="4"/>
    </row>
    <row r="18" ht="15.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O$17"/>
  <dataValidations>
    <dataValidation type="list" allowBlank="1" sqref="N2:N17">
      <formula1>"Not Executed,Passed,Failed,Blocked"</formula1>
    </dataValidation>
    <dataValidation type="list" allowBlank="1" sqref="M2:M17">
      <formula1>"Automation,Manual"</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3" width="34.0"/>
    <col customWidth="1" min="4" max="4" width="30.0"/>
    <col customWidth="1" min="5" max="5" width="26.0"/>
    <col customWidth="1" min="6" max="6" width="20.0"/>
    <col customWidth="1" min="7" max="7" width="42.0"/>
    <col customWidth="1" min="8" max="8" width="20.0"/>
    <col customWidth="1" min="9" max="26" width="8.71"/>
  </cols>
  <sheetData>
    <row r="1" ht="25.5" customHeight="1">
      <c r="A1" s="38" t="s">
        <v>1715</v>
      </c>
      <c r="H1" s="4"/>
    </row>
    <row r="2" ht="30.0" customHeight="1">
      <c r="A2" s="39" t="s">
        <v>1716</v>
      </c>
      <c r="H2" s="4"/>
    </row>
    <row r="3">
      <c r="A3" s="4"/>
      <c r="B3" s="4"/>
      <c r="C3" s="4"/>
      <c r="D3" s="4"/>
      <c r="E3" s="4"/>
      <c r="F3" s="4"/>
      <c r="G3" s="4"/>
      <c r="H3" s="4"/>
    </row>
    <row r="4" ht="19.5" customHeight="1">
      <c r="A4" s="19" t="s">
        <v>1717</v>
      </c>
      <c r="B4" s="19" t="s">
        <v>1718</v>
      </c>
      <c r="C4" s="19" t="s">
        <v>1719</v>
      </c>
      <c r="D4" s="19" t="s">
        <v>1720</v>
      </c>
      <c r="E4" s="19" t="s">
        <v>1721</v>
      </c>
      <c r="F4" s="19" t="s">
        <v>1722</v>
      </c>
      <c r="G4" s="19" t="s">
        <v>1723</v>
      </c>
      <c r="H4" s="19" t="s">
        <v>1724</v>
      </c>
    </row>
    <row r="5" ht="68.25" customHeight="1">
      <c r="A5" s="40" t="s">
        <v>1725</v>
      </c>
      <c r="B5" s="6" t="s">
        <v>1726</v>
      </c>
      <c r="C5" s="6" t="s">
        <v>1727</v>
      </c>
      <c r="D5" s="6" t="s">
        <v>1728</v>
      </c>
      <c r="E5" s="41" t="s">
        <v>1729</v>
      </c>
      <c r="F5" s="42" t="s">
        <v>1730</v>
      </c>
      <c r="G5" s="6" t="s">
        <v>1731</v>
      </c>
      <c r="H5" s="6" t="s">
        <v>1732</v>
      </c>
    </row>
    <row r="6" ht="67.5" customHeight="1">
      <c r="A6" s="40" t="s">
        <v>1733</v>
      </c>
      <c r="B6" s="6" t="s">
        <v>1734</v>
      </c>
      <c r="C6" s="6" t="s">
        <v>1735</v>
      </c>
      <c r="D6" s="6" t="s">
        <v>1736</v>
      </c>
      <c r="E6" s="41" t="s">
        <v>1737</v>
      </c>
      <c r="F6" s="43" t="s">
        <v>1738</v>
      </c>
      <c r="G6" s="6" t="s">
        <v>1739</v>
      </c>
      <c r="H6" s="6" t="s">
        <v>1740</v>
      </c>
    </row>
    <row r="7" ht="45.75" customHeight="1">
      <c r="A7" s="40" t="s">
        <v>1741</v>
      </c>
      <c r="B7" s="6" t="s">
        <v>1734</v>
      </c>
      <c r="C7" s="6" t="s">
        <v>1742</v>
      </c>
      <c r="D7" s="6" t="s">
        <v>1743</v>
      </c>
      <c r="E7" s="44" t="s">
        <v>1744</v>
      </c>
      <c r="F7" s="45" t="s">
        <v>1745</v>
      </c>
      <c r="G7" s="6" t="s">
        <v>1746</v>
      </c>
      <c r="H7" s="6" t="s">
        <v>1073</v>
      </c>
    </row>
    <row r="8" ht="56.25" customHeight="1">
      <c r="A8" s="40" t="s">
        <v>1747</v>
      </c>
      <c r="B8" s="6" t="s">
        <v>1734</v>
      </c>
      <c r="C8" s="6" t="s">
        <v>1748</v>
      </c>
      <c r="D8" s="6" t="s">
        <v>1749</v>
      </c>
      <c r="E8" s="41" t="s">
        <v>1750</v>
      </c>
      <c r="F8" s="43" t="s">
        <v>1738</v>
      </c>
      <c r="G8" s="6" t="s">
        <v>1751</v>
      </c>
      <c r="H8" s="6" t="s">
        <v>1082</v>
      </c>
    </row>
    <row r="9" ht="33.0" customHeight="1">
      <c r="A9" s="40" t="s">
        <v>1752</v>
      </c>
      <c r="B9" s="6" t="s">
        <v>1734</v>
      </c>
      <c r="C9" s="6" t="s">
        <v>1753</v>
      </c>
      <c r="D9" s="6" t="s">
        <v>1754</v>
      </c>
      <c r="E9" s="44" t="s">
        <v>1755</v>
      </c>
      <c r="F9" s="45" t="s">
        <v>1745</v>
      </c>
      <c r="G9" s="6" t="s">
        <v>1756</v>
      </c>
      <c r="H9" s="6" t="s">
        <v>1200</v>
      </c>
    </row>
    <row r="10" ht="38.25" customHeight="1">
      <c r="A10" s="40" t="s">
        <v>1757</v>
      </c>
      <c r="B10" s="6" t="s">
        <v>1734</v>
      </c>
      <c r="C10" s="6" t="s">
        <v>1758</v>
      </c>
      <c r="D10" s="6" t="s">
        <v>1759</v>
      </c>
      <c r="E10" s="44" t="s">
        <v>1760</v>
      </c>
      <c r="F10" s="45" t="s">
        <v>1745</v>
      </c>
      <c r="G10" s="6" t="s">
        <v>1761</v>
      </c>
      <c r="H10" s="6" t="s">
        <v>1306</v>
      </c>
    </row>
    <row r="11" ht="40.5" customHeight="1">
      <c r="A11" s="40" t="s">
        <v>1762</v>
      </c>
      <c r="B11" s="6" t="s">
        <v>1734</v>
      </c>
      <c r="C11" s="6" t="s">
        <v>1763</v>
      </c>
      <c r="D11" s="6" t="s">
        <v>1764</v>
      </c>
      <c r="E11" s="44" t="s">
        <v>1765</v>
      </c>
      <c r="F11" s="45" t="s">
        <v>1745</v>
      </c>
      <c r="G11" s="6" t="s">
        <v>1766</v>
      </c>
      <c r="H11" s="6" t="s">
        <v>1534</v>
      </c>
    </row>
    <row r="12" ht="39.0" customHeight="1">
      <c r="A12" s="40" t="s">
        <v>1767</v>
      </c>
      <c r="B12" s="6" t="s">
        <v>1734</v>
      </c>
      <c r="C12" s="6" t="s">
        <v>1768</v>
      </c>
      <c r="D12" s="6" t="s">
        <v>1769</v>
      </c>
      <c r="E12" s="44" t="s">
        <v>1770</v>
      </c>
      <c r="F12" s="45" t="s">
        <v>1745</v>
      </c>
      <c r="G12" s="6" t="s">
        <v>1771</v>
      </c>
      <c r="H12" s="6" t="s">
        <v>1150</v>
      </c>
    </row>
    <row r="13" ht="55.5" customHeight="1">
      <c r="A13" s="40" t="s">
        <v>1772</v>
      </c>
      <c r="B13" s="6" t="s">
        <v>1734</v>
      </c>
      <c r="C13" s="6" t="s">
        <v>1773</v>
      </c>
      <c r="D13" s="6" t="s">
        <v>1774</v>
      </c>
      <c r="E13" s="41" t="s">
        <v>1775</v>
      </c>
      <c r="F13" s="43" t="s">
        <v>1738</v>
      </c>
      <c r="G13" s="6" t="s">
        <v>1776</v>
      </c>
      <c r="H13" s="6" t="s">
        <v>1777</v>
      </c>
    </row>
    <row r="14" ht="73.5" customHeight="1">
      <c r="A14" s="40" t="s">
        <v>1778</v>
      </c>
      <c r="B14" s="6" t="s">
        <v>1734</v>
      </c>
      <c r="C14" s="6" t="s">
        <v>1779</v>
      </c>
      <c r="D14" s="6" t="s">
        <v>1780</v>
      </c>
      <c r="E14" s="44" t="s">
        <v>1781</v>
      </c>
      <c r="F14" s="45" t="s">
        <v>1745</v>
      </c>
      <c r="G14" s="6" t="s">
        <v>1782</v>
      </c>
      <c r="H14" s="6" t="s">
        <v>1783</v>
      </c>
    </row>
    <row r="15" ht="87.0" customHeight="1">
      <c r="A15" s="40" t="s">
        <v>1784</v>
      </c>
      <c r="B15" s="6" t="s">
        <v>1785</v>
      </c>
      <c r="C15" s="6" t="s">
        <v>1786</v>
      </c>
      <c r="D15" s="6" t="s">
        <v>1787</v>
      </c>
      <c r="E15" s="44" t="s">
        <v>1788</v>
      </c>
      <c r="F15" s="46" t="s">
        <v>1789</v>
      </c>
      <c r="G15" s="6" t="s">
        <v>1790</v>
      </c>
      <c r="H15" s="6" t="s">
        <v>1791</v>
      </c>
    </row>
    <row r="16" ht="43.5" customHeight="1">
      <c r="A16" s="40" t="s">
        <v>1792</v>
      </c>
      <c r="B16" s="6" t="s">
        <v>1734</v>
      </c>
      <c r="C16" s="6" t="s">
        <v>1793</v>
      </c>
      <c r="D16" s="6" t="s">
        <v>1794</v>
      </c>
      <c r="E16" s="44" t="s">
        <v>1795</v>
      </c>
      <c r="F16" s="45" t="s">
        <v>1745</v>
      </c>
      <c r="G16" s="6" t="s">
        <v>1796</v>
      </c>
      <c r="H16" s="6" t="s">
        <v>1797</v>
      </c>
    </row>
    <row r="17" ht="43.5" customHeight="1">
      <c r="A17" s="40" t="s">
        <v>1798</v>
      </c>
      <c r="B17" s="6" t="s">
        <v>1734</v>
      </c>
      <c r="C17" s="6" t="s">
        <v>1799</v>
      </c>
      <c r="D17" s="6" t="s">
        <v>1800</v>
      </c>
      <c r="E17" s="44" t="s">
        <v>1801</v>
      </c>
      <c r="F17" s="45" t="s">
        <v>1745</v>
      </c>
      <c r="G17" s="6" t="s">
        <v>1802</v>
      </c>
      <c r="H17" s="6" t="s">
        <v>1682</v>
      </c>
    </row>
    <row r="18">
      <c r="A18" s="4"/>
      <c r="B18" s="4"/>
      <c r="C18" s="4"/>
      <c r="D18" s="4"/>
      <c r="E18" s="4"/>
      <c r="F18" s="4"/>
      <c r="G18" s="4"/>
      <c r="H18" s="4"/>
    </row>
    <row r="19" ht="15.0" customHeight="1">
      <c r="A19" s="47" t="s">
        <v>1803</v>
      </c>
      <c r="B19" s="4"/>
      <c r="C19" s="4"/>
      <c r="D19" s="4"/>
      <c r="E19" s="4"/>
      <c r="F19" s="4"/>
      <c r="G19" s="4"/>
      <c r="H19" s="4"/>
    </row>
    <row r="20" ht="15.0" customHeight="1">
      <c r="A20" s="48" t="s">
        <v>1745</v>
      </c>
      <c r="B20" s="49" t="s">
        <v>1804</v>
      </c>
    </row>
    <row r="21" ht="15.0" customHeight="1">
      <c r="A21" s="50" t="s">
        <v>1789</v>
      </c>
      <c r="B21" s="49" t="s">
        <v>1805</v>
      </c>
    </row>
    <row r="22" ht="15.0" customHeight="1">
      <c r="A22" s="51" t="s">
        <v>1730</v>
      </c>
      <c r="B22" s="49" t="s">
        <v>1806</v>
      </c>
    </row>
    <row r="23" ht="15.0" customHeight="1">
      <c r="A23" s="52" t="s">
        <v>1738</v>
      </c>
      <c r="B23" s="49" t="s">
        <v>1807</v>
      </c>
    </row>
    <row r="24" ht="15.75" customHeight="1">
      <c r="A24" s="4"/>
      <c r="B24" s="4"/>
      <c r="C24" s="4"/>
      <c r="D24" s="4"/>
      <c r="E24" s="4"/>
      <c r="F24" s="4"/>
      <c r="G24" s="4"/>
      <c r="H24" s="4"/>
    </row>
    <row r="25" ht="15.75" customHeight="1">
      <c r="A25" s="4"/>
      <c r="B25" s="4"/>
      <c r="C25" s="4"/>
      <c r="D25" s="4"/>
      <c r="E25" s="4"/>
      <c r="F25" s="4"/>
      <c r="G25" s="4"/>
      <c r="H25" s="4"/>
    </row>
    <row r="26" ht="15.75" customHeight="1">
      <c r="A26" s="4"/>
      <c r="B26" s="4"/>
      <c r="C26" s="4"/>
      <c r="D26" s="4"/>
      <c r="E26" s="4"/>
      <c r="F26" s="4"/>
      <c r="G26" s="4"/>
      <c r="H26" s="4"/>
    </row>
    <row r="27" ht="15.75" customHeight="1">
      <c r="A27" s="4"/>
      <c r="B27" s="4"/>
      <c r="C27" s="4"/>
      <c r="D27" s="4"/>
      <c r="E27" s="4"/>
      <c r="F27" s="4"/>
      <c r="G27" s="4"/>
      <c r="H27" s="4"/>
    </row>
    <row r="28" ht="15.75" customHeight="1">
      <c r="A28" s="4"/>
      <c r="B28" s="4"/>
      <c r="C28" s="4"/>
      <c r="D28" s="4"/>
      <c r="E28" s="4"/>
      <c r="F28" s="4"/>
      <c r="G28" s="4"/>
      <c r="H28" s="4"/>
    </row>
    <row r="29" ht="15.75" customHeight="1">
      <c r="A29" s="4"/>
      <c r="B29" s="4"/>
      <c r="C29" s="4"/>
      <c r="D29" s="4"/>
      <c r="E29" s="4"/>
      <c r="F29" s="4"/>
      <c r="G29" s="4"/>
      <c r="H29" s="4"/>
    </row>
    <row r="30" ht="15.75" customHeight="1">
      <c r="A30" s="4"/>
      <c r="B30" s="4"/>
      <c r="C30" s="4"/>
      <c r="D30" s="4"/>
      <c r="E30" s="4"/>
      <c r="F30" s="4"/>
      <c r="G30" s="4"/>
      <c r="H30" s="4"/>
    </row>
    <row r="31" ht="15.75" customHeight="1">
      <c r="A31" s="4"/>
      <c r="B31" s="4"/>
      <c r="C31" s="4"/>
      <c r="D31" s="4"/>
      <c r="E31" s="4"/>
      <c r="F31" s="4"/>
      <c r="G31" s="4"/>
      <c r="H31" s="4"/>
    </row>
    <row r="32" ht="15.75" customHeight="1">
      <c r="A32" s="4"/>
      <c r="B32" s="4"/>
      <c r="C32" s="4"/>
      <c r="D32" s="4"/>
      <c r="E32" s="4"/>
      <c r="F32" s="4"/>
      <c r="G32" s="4"/>
      <c r="H32" s="4"/>
    </row>
    <row r="33" ht="15.75" customHeight="1">
      <c r="A33" s="4"/>
      <c r="B33" s="4"/>
      <c r="C33" s="4"/>
      <c r="D33" s="4"/>
      <c r="E33" s="4"/>
      <c r="F33" s="4"/>
      <c r="G33" s="4"/>
      <c r="H33" s="4"/>
    </row>
    <row r="34" ht="15.75" customHeight="1">
      <c r="A34" s="4"/>
      <c r="B34" s="4"/>
      <c r="C34" s="4"/>
      <c r="D34" s="4"/>
      <c r="E34" s="4"/>
      <c r="F34" s="4"/>
      <c r="G34" s="4"/>
      <c r="H34" s="4"/>
    </row>
    <row r="35" ht="15.75" customHeight="1">
      <c r="A35" s="4"/>
      <c r="B35" s="4"/>
      <c r="C35" s="4"/>
      <c r="D35" s="4"/>
      <c r="E35" s="4"/>
      <c r="F35" s="4"/>
      <c r="G35" s="4"/>
      <c r="H35" s="4"/>
    </row>
    <row r="36" ht="15.75" customHeight="1">
      <c r="A36" s="4"/>
      <c r="B36" s="4"/>
      <c r="C36" s="4"/>
      <c r="D36" s="4"/>
      <c r="E36" s="4"/>
      <c r="F36" s="4"/>
      <c r="G36" s="4"/>
      <c r="H36" s="4"/>
    </row>
    <row r="37" ht="15.75" customHeight="1">
      <c r="A37" s="4"/>
      <c r="B37" s="4"/>
      <c r="C37" s="4"/>
      <c r="D37" s="4"/>
      <c r="E37" s="4"/>
      <c r="F37" s="4"/>
      <c r="G37" s="4"/>
      <c r="H37" s="4"/>
    </row>
    <row r="38" ht="15.75" customHeight="1">
      <c r="A38" s="4"/>
      <c r="B38" s="4"/>
      <c r="C38" s="4"/>
      <c r="D38" s="4"/>
      <c r="E38" s="4"/>
      <c r="F38" s="4"/>
      <c r="G38" s="4"/>
      <c r="H38" s="4"/>
    </row>
    <row r="39" ht="15.75" customHeight="1">
      <c r="A39" s="4"/>
      <c r="B39" s="4"/>
      <c r="C39" s="4"/>
      <c r="D39" s="4"/>
      <c r="E39" s="4"/>
      <c r="F39" s="4"/>
      <c r="G39" s="4"/>
      <c r="H39" s="4"/>
    </row>
    <row r="40" ht="15.75" customHeight="1">
      <c r="A40" s="4"/>
      <c r="B40" s="4"/>
      <c r="C40" s="4"/>
      <c r="D40" s="4"/>
      <c r="E40" s="4"/>
      <c r="F40" s="4"/>
      <c r="G40" s="4"/>
      <c r="H40" s="4"/>
    </row>
    <row r="41" ht="15.75" customHeight="1">
      <c r="A41" s="4"/>
      <c r="B41" s="4"/>
      <c r="C41" s="4"/>
      <c r="D41" s="4"/>
      <c r="E41" s="4"/>
      <c r="F41" s="4"/>
      <c r="G41" s="4"/>
      <c r="H41" s="4"/>
    </row>
    <row r="42" ht="15.75" customHeight="1">
      <c r="A42" s="4"/>
      <c r="B42" s="4"/>
      <c r="C42" s="4"/>
      <c r="D42" s="4"/>
      <c r="E42" s="4"/>
      <c r="F42" s="4"/>
      <c r="G42" s="4"/>
      <c r="H42" s="4"/>
    </row>
    <row r="43" ht="15.75" customHeight="1">
      <c r="A43" s="4"/>
      <c r="B43" s="4"/>
      <c r="C43" s="4"/>
      <c r="D43" s="4"/>
      <c r="E43" s="4"/>
      <c r="F43" s="4"/>
      <c r="G43" s="4"/>
      <c r="H43" s="4"/>
    </row>
    <row r="44" ht="15.75" customHeight="1">
      <c r="A44" s="4"/>
      <c r="B44" s="4"/>
      <c r="C44" s="4"/>
      <c r="D44" s="4"/>
      <c r="E44" s="4"/>
      <c r="F44" s="4"/>
      <c r="G44" s="4"/>
      <c r="H44" s="4"/>
    </row>
    <row r="45" ht="15.75" customHeight="1">
      <c r="A45" s="4"/>
      <c r="B45" s="4"/>
      <c r="C45" s="4"/>
      <c r="D45" s="4"/>
      <c r="E45" s="4"/>
      <c r="F45" s="4"/>
      <c r="G45" s="4"/>
      <c r="H45" s="4"/>
    </row>
    <row r="46" ht="15.75" customHeight="1">
      <c r="A46" s="4"/>
      <c r="B46" s="4"/>
      <c r="C46" s="4"/>
      <c r="D46" s="4"/>
      <c r="E46" s="4"/>
      <c r="F46" s="4"/>
      <c r="G46" s="4"/>
      <c r="H46" s="4"/>
    </row>
    <row r="47" ht="15.75" customHeight="1">
      <c r="A47" s="4"/>
      <c r="B47" s="4"/>
      <c r="C47" s="4"/>
      <c r="D47" s="4"/>
      <c r="E47" s="4"/>
      <c r="F47" s="4"/>
      <c r="G47" s="4"/>
      <c r="H47" s="4"/>
    </row>
    <row r="48" ht="15.75" customHeight="1">
      <c r="A48" s="4"/>
      <c r="B48" s="4"/>
      <c r="C48" s="4"/>
      <c r="D48" s="4"/>
      <c r="E48" s="4"/>
      <c r="F48" s="4"/>
      <c r="G48" s="4"/>
      <c r="H48" s="4"/>
    </row>
    <row r="49" ht="15.75" customHeight="1">
      <c r="A49" s="4"/>
      <c r="B49" s="4"/>
      <c r="C49" s="4"/>
      <c r="D49" s="4"/>
      <c r="E49" s="4"/>
      <c r="F49" s="4"/>
      <c r="G49" s="4"/>
      <c r="H49" s="4"/>
    </row>
    <row r="50" ht="15.75" customHeight="1">
      <c r="A50" s="4"/>
      <c r="B50" s="4"/>
      <c r="C50" s="4"/>
      <c r="D50" s="4"/>
      <c r="E50" s="4"/>
      <c r="F50" s="4"/>
      <c r="G50" s="4"/>
      <c r="H50" s="4"/>
    </row>
    <row r="51" ht="15.75" customHeight="1">
      <c r="A51" s="4"/>
      <c r="B51" s="4"/>
      <c r="C51" s="4"/>
      <c r="D51" s="4"/>
      <c r="E51" s="4"/>
      <c r="F51" s="4"/>
      <c r="G51" s="4"/>
      <c r="H51" s="4"/>
    </row>
    <row r="52" ht="15.75" customHeight="1">
      <c r="A52" s="4"/>
      <c r="B52" s="4"/>
      <c r="C52" s="4"/>
      <c r="D52" s="4"/>
      <c r="E52" s="4"/>
      <c r="F52" s="4"/>
      <c r="G52" s="4"/>
      <c r="H52" s="4"/>
    </row>
    <row r="53" ht="15.75" customHeight="1">
      <c r="A53" s="4"/>
      <c r="B53" s="4"/>
      <c r="C53" s="4"/>
      <c r="D53" s="4"/>
      <c r="E53" s="4"/>
      <c r="F53" s="4"/>
      <c r="G53" s="4"/>
      <c r="H53" s="4"/>
    </row>
    <row r="54" ht="15.75" customHeight="1">
      <c r="A54" s="4"/>
      <c r="B54" s="4"/>
      <c r="C54" s="4"/>
      <c r="D54" s="4"/>
      <c r="E54" s="4"/>
      <c r="F54" s="4"/>
      <c r="G54" s="4"/>
      <c r="H54" s="4"/>
    </row>
    <row r="55" ht="15.75" customHeight="1">
      <c r="A55" s="4"/>
      <c r="B55" s="4"/>
      <c r="C55" s="4"/>
      <c r="D55" s="4"/>
      <c r="E55" s="4"/>
      <c r="F55" s="4"/>
      <c r="G55" s="4"/>
      <c r="H55" s="4"/>
    </row>
    <row r="56" ht="15.75" customHeight="1">
      <c r="A56" s="4"/>
      <c r="B56" s="4"/>
      <c r="C56" s="4"/>
      <c r="D56" s="4"/>
      <c r="E56" s="4"/>
      <c r="F56" s="4"/>
      <c r="G56" s="4"/>
      <c r="H56" s="4"/>
    </row>
    <row r="57" ht="15.75" customHeight="1">
      <c r="A57" s="4"/>
      <c r="B57" s="4"/>
      <c r="C57" s="4"/>
      <c r="D57" s="4"/>
      <c r="E57" s="4"/>
      <c r="F57" s="4"/>
      <c r="G57" s="4"/>
      <c r="H57" s="4"/>
    </row>
    <row r="58" ht="15.75" customHeight="1">
      <c r="A58" s="4"/>
      <c r="B58" s="4"/>
      <c r="C58" s="4"/>
      <c r="D58" s="4"/>
      <c r="E58" s="4"/>
      <c r="F58" s="4"/>
      <c r="G58" s="4"/>
      <c r="H58" s="4"/>
    </row>
    <row r="59" ht="15.75" customHeight="1">
      <c r="A59" s="4"/>
      <c r="B59" s="4"/>
      <c r="C59" s="4"/>
      <c r="D59" s="4"/>
      <c r="E59" s="4"/>
      <c r="F59" s="4"/>
      <c r="G59" s="4"/>
      <c r="H59" s="4"/>
    </row>
    <row r="60" ht="15.75" customHeight="1">
      <c r="A60" s="4"/>
      <c r="B60" s="4"/>
      <c r="C60" s="4"/>
      <c r="D60" s="4"/>
      <c r="E60" s="4"/>
      <c r="F60" s="4"/>
      <c r="G60" s="4"/>
      <c r="H60" s="4"/>
    </row>
    <row r="61" ht="15.75" customHeight="1">
      <c r="A61" s="4"/>
      <c r="B61" s="4"/>
      <c r="C61" s="4"/>
      <c r="D61" s="4"/>
      <c r="E61" s="4"/>
      <c r="F61" s="4"/>
      <c r="G61" s="4"/>
      <c r="H61" s="4"/>
    </row>
    <row r="62" ht="15.75" customHeight="1">
      <c r="A62" s="4"/>
      <c r="B62" s="4"/>
      <c r="C62" s="4"/>
      <c r="D62" s="4"/>
      <c r="E62" s="4"/>
      <c r="F62" s="4"/>
      <c r="G62" s="4"/>
      <c r="H62" s="4"/>
    </row>
    <row r="63" ht="15.75" customHeight="1">
      <c r="A63" s="4"/>
      <c r="B63" s="4"/>
      <c r="C63" s="4"/>
      <c r="D63" s="4"/>
      <c r="E63" s="4"/>
      <c r="F63" s="4"/>
      <c r="G63" s="4"/>
      <c r="H63" s="4"/>
    </row>
    <row r="64" ht="15.75" customHeight="1">
      <c r="A64" s="4"/>
      <c r="B64" s="4"/>
      <c r="C64" s="4"/>
      <c r="D64" s="4"/>
      <c r="E64" s="4"/>
      <c r="F64" s="4"/>
      <c r="G64" s="4"/>
      <c r="H64" s="4"/>
    </row>
    <row r="65" ht="15.75" customHeight="1">
      <c r="A65" s="4"/>
      <c r="B65" s="4"/>
      <c r="C65" s="4"/>
      <c r="D65" s="4"/>
      <c r="E65" s="4"/>
      <c r="F65" s="4"/>
      <c r="G65" s="4"/>
      <c r="H65" s="4"/>
    </row>
    <row r="66" ht="15.75" customHeight="1">
      <c r="A66" s="4"/>
      <c r="B66" s="4"/>
      <c r="C66" s="4"/>
      <c r="D66" s="4"/>
      <c r="E66" s="4"/>
      <c r="F66" s="4"/>
      <c r="G66" s="4"/>
      <c r="H66" s="4"/>
    </row>
    <row r="67" ht="15.75" customHeight="1">
      <c r="A67" s="4"/>
      <c r="B67" s="4"/>
      <c r="C67" s="4"/>
      <c r="D67" s="4"/>
      <c r="E67" s="4"/>
      <c r="F67" s="4"/>
      <c r="G67" s="4"/>
      <c r="H67" s="4"/>
    </row>
    <row r="68" ht="15.75" customHeight="1">
      <c r="A68" s="4"/>
      <c r="B68" s="4"/>
      <c r="C68" s="4"/>
      <c r="D68" s="4"/>
      <c r="E68" s="4"/>
      <c r="F68" s="4"/>
      <c r="G68" s="4"/>
      <c r="H68" s="4"/>
    </row>
    <row r="69" ht="15.75" customHeight="1">
      <c r="A69" s="4"/>
      <c r="B69" s="4"/>
      <c r="C69" s="4"/>
      <c r="D69" s="4"/>
      <c r="E69" s="4"/>
      <c r="F69" s="4"/>
      <c r="G69" s="4"/>
      <c r="H69" s="4"/>
    </row>
    <row r="70" ht="15.75" customHeight="1">
      <c r="A70" s="4"/>
      <c r="B70" s="4"/>
      <c r="C70" s="4"/>
      <c r="D70" s="4"/>
      <c r="E70" s="4"/>
      <c r="F70" s="4"/>
      <c r="G70" s="4"/>
      <c r="H70" s="4"/>
    </row>
    <row r="71" ht="15.75" customHeight="1">
      <c r="A71" s="4"/>
      <c r="B71" s="4"/>
      <c r="C71" s="4"/>
      <c r="D71" s="4"/>
      <c r="E71" s="4"/>
      <c r="F71" s="4"/>
      <c r="G71" s="4"/>
      <c r="H71" s="4"/>
    </row>
    <row r="72" ht="15.75" customHeight="1">
      <c r="A72" s="4"/>
      <c r="B72" s="4"/>
      <c r="C72" s="4"/>
      <c r="D72" s="4"/>
      <c r="E72" s="4"/>
      <c r="F72" s="4"/>
      <c r="G72" s="4"/>
      <c r="H72" s="4"/>
    </row>
    <row r="73" ht="15.75" customHeight="1">
      <c r="A73" s="4"/>
      <c r="B73" s="4"/>
      <c r="C73" s="4"/>
      <c r="D73" s="4"/>
      <c r="E73" s="4"/>
      <c r="F73" s="4"/>
      <c r="G73" s="4"/>
      <c r="H73" s="4"/>
    </row>
    <row r="74" ht="15.75" customHeight="1">
      <c r="A74" s="4"/>
      <c r="B74" s="4"/>
      <c r="C74" s="4"/>
      <c r="D74" s="4"/>
      <c r="E74" s="4"/>
      <c r="F74" s="4"/>
      <c r="G74" s="4"/>
      <c r="H74" s="4"/>
    </row>
    <row r="75" ht="15.75" customHeight="1">
      <c r="A75" s="4"/>
      <c r="B75" s="4"/>
      <c r="C75" s="4"/>
      <c r="D75" s="4"/>
      <c r="E75" s="4"/>
      <c r="F75" s="4"/>
      <c r="G75" s="4"/>
      <c r="H75" s="4"/>
    </row>
    <row r="76" ht="15.75" customHeight="1">
      <c r="A76" s="4"/>
      <c r="B76" s="4"/>
      <c r="C76" s="4"/>
      <c r="D76" s="4"/>
      <c r="E76" s="4"/>
      <c r="F76" s="4"/>
      <c r="G76" s="4"/>
      <c r="H76" s="4"/>
    </row>
    <row r="77" ht="15.75" customHeight="1">
      <c r="A77" s="4"/>
      <c r="B77" s="4"/>
      <c r="C77" s="4"/>
      <c r="D77" s="4"/>
      <c r="E77" s="4"/>
      <c r="F77" s="4"/>
      <c r="G77" s="4"/>
      <c r="H77" s="4"/>
    </row>
    <row r="78" ht="15.75" customHeight="1">
      <c r="A78" s="4"/>
      <c r="B78" s="4"/>
      <c r="C78" s="4"/>
      <c r="D78" s="4"/>
      <c r="E78" s="4"/>
      <c r="F78" s="4"/>
      <c r="G78" s="4"/>
      <c r="H78" s="4"/>
    </row>
    <row r="79" ht="15.75" customHeight="1">
      <c r="A79" s="4"/>
      <c r="B79" s="4"/>
      <c r="C79" s="4"/>
      <c r="D79" s="4"/>
      <c r="E79" s="4"/>
      <c r="F79" s="4"/>
      <c r="G79" s="4"/>
      <c r="H79" s="4"/>
    </row>
    <row r="80" ht="15.75" customHeight="1">
      <c r="A80" s="4"/>
      <c r="B80" s="4"/>
      <c r="C80" s="4"/>
      <c r="D80" s="4"/>
      <c r="E80" s="4"/>
      <c r="F80" s="4"/>
      <c r="G80" s="4"/>
      <c r="H80" s="4"/>
    </row>
    <row r="81" ht="15.75" customHeight="1">
      <c r="A81" s="4"/>
      <c r="B81" s="4"/>
      <c r="C81" s="4"/>
      <c r="D81" s="4"/>
      <c r="E81" s="4"/>
      <c r="F81" s="4"/>
      <c r="G81" s="4"/>
      <c r="H81" s="4"/>
    </row>
    <row r="82" ht="15.75" customHeight="1">
      <c r="A82" s="4"/>
      <c r="B82" s="4"/>
      <c r="C82" s="4"/>
      <c r="D82" s="4"/>
      <c r="E82" s="4"/>
      <c r="F82" s="4"/>
      <c r="G82" s="4"/>
      <c r="H82" s="4"/>
    </row>
    <row r="83" ht="15.75" customHeight="1">
      <c r="A83" s="4"/>
      <c r="B83" s="4"/>
      <c r="C83" s="4"/>
      <c r="D83" s="4"/>
      <c r="E83" s="4"/>
      <c r="F83" s="4"/>
      <c r="G83" s="4"/>
      <c r="H83" s="4"/>
    </row>
    <row r="84" ht="15.75" customHeight="1">
      <c r="A84" s="4"/>
      <c r="B84" s="4"/>
      <c r="C84" s="4"/>
      <c r="D84" s="4"/>
      <c r="E84" s="4"/>
      <c r="F84" s="4"/>
      <c r="G84" s="4"/>
      <c r="H84" s="4"/>
    </row>
    <row r="85" ht="15.75" customHeight="1">
      <c r="A85" s="4"/>
      <c r="B85" s="4"/>
      <c r="C85" s="4"/>
      <c r="D85" s="4"/>
      <c r="E85" s="4"/>
      <c r="F85" s="4"/>
      <c r="G85" s="4"/>
      <c r="H85" s="4"/>
    </row>
    <row r="86" ht="15.75" customHeight="1">
      <c r="A86" s="4"/>
      <c r="B86" s="4"/>
      <c r="C86" s="4"/>
      <c r="D86" s="4"/>
      <c r="E86" s="4"/>
      <c r="F86" s="4"/>
      <c r="G86" s="4"/>
      <c r="H86" s="4"/>
    </row>
    <row r="87" ht="15.75" customHeight="1">
      <c r="A87" s="4"/>
      <c r="B87" s="4"/>
      <c r="C87" s="4"/>
      <c r="D87" s="4"/>
      <c r="E87" s="4"/>
      <c r="F87" s="4"/>
      <c r="G87" s="4"/>
      <c r="H87" s="4"/>
    </row>
    <row r="88" ht="15.75" customHeight="1">
      <c r="A88" s="4"/>
      <c r="B88" s="4"/>
      <c r="C88" s="4"/>
      <c r="D88" s="4"/>
      <c r="E88" s="4"/>
      <c r="F88" s="4"/>
      <c r="G88" s="4"/>
      <c r="H88" s="4"/>
    </row>
    <row r="89" ht="15.75" customHeight="1">
      <c r="A89" s="4"/>
      <c r="B89" s="4"/>
      <c r="C89" s="4"/>
      <c r="D89" s="4"/>
      <c r="E89" s="4"/>
      <c r="F89" s="4"/>
      <c r="G89" s="4"/>
      <c r="H89" s="4"/>
    </row>
    <row r="90" ht="15.75" customHeight="1">
      <c r="A90" s="4"/>
      <c r="B90" s="4"/>
      <c r="C90" s="4"/>
      <c r="D90" s="4"/>
      <c r="E90" s="4"/>
      <c r="F90" s="4"/>
      <c r="G90" s="4"/>
      <c r="H90" s="4"/>
    </row>
    <row r="91" ht="15.75" customHeight="1">
      <c r="A91" s="4"/>
      <c r="B91" s="4"/>
      <c r="C91" s="4"/>
      <c r="D91" s="4"/>
      <c r="E91" s="4"/>
      <c r="F91" s="4"/>
      <c r="G91" s="4"/>
      <c r="H91" s="4"/>
    </row>
    <row r="92" ht="15.75" customHeight="1">
      <c r="A92" s="4"/>
      <c r="B92" s="4"/>
      <c r="C92" s="4"/>
      <c r="D92" s="4"/>
      <c r="E92" s="4"/>
      <c r="F92" s="4"/>
      <c r="G92" s="4"/>
      <c r="H92" s="4"/>
    </row>
    <row r="93" ht="15.75" customHeight="1">
      <c r="A93" s="4"/>
      <c r="B93" s="4"/>
      <c r="C93" s="4"/>
      <c r="D93" s="4"/>
      <c r="E93" s="4"/>
      <c r="F93" s="4"/>
      <c r="G93" s="4"/>
      <c r="H93" s="4"/>
    </row>
    <row r="94" ht="15.75" customHeight="1">
      <c r="A94" s="4"/>
      <c r="B94" s="4"/>
      <c r="C94" s="4"/>
      <c r="D94" s="4"/>
      <c r="E94" s="4"/>
      <c r="F94" s="4"/>
      <c r="G94" s="4"/>
      <c r="H94" s="4"/>
    </row>
    <row r="95" ht="15.75" customHeight="1">
      <c r="A95" s="4"/>
      <c r="B95" s="4"/>
      <c r="C95" s="4"/>
      <c r="D95" s="4"/>
      <c r="E95" s="4"/>
      <c r="F95" s="4"/>
      <c r="G95" s="4"/>
      <c r="H95" s="4"/>
    </row>
    <row r="96" ht="15.75" customHeight="1">
      <c r="A96" s="4"/>
      <c r="B96" s="4"/>
      <c r="C96" s="4"/>
      <c r="D96" s="4"/>
      <c r="E96" s="4"/>
      <c r="F96" s="4"/>
      <c r="G96" s="4"/>
      <c r="H96" s="4"/>
    </row>
    <row r="97" ht="15.75" customHeight="1">
      <c r="A97" s="4"/>
      <c r="B97" s="4"/>
      <c r="C97" s="4"/>
      <c r="D97" s="4"/>
      <c r="E97" s="4"/>
      <c r="F97" s="4"/>
      <c r="G97" s="4"/>
      <c r="H97" s="4"/>
    </row>
    <row r="98" ht="15.75" customHeight="1">
      <c r="A98" s="4"/>
      <c r="B98" s="4"/>
      <c r="C98" s="4"/>
      <c r="D98" s="4"/>
      <c r="E98" s="4"/>
      <c r="F98" s="4"/>
      <c r="G98" s="4"/>
      <c r="H98" s="4"/>
    </row>
    <row r="99" ht="15.75" customHeight="1">
      <c r="A99" s="4"/>
      <c r="B99" s="4"/>
      <c r="C99" s="4"/>
      <c r="D99" s="4"/>
      <c r="E99" s="4"/>
      <c r="F99" s="4"/>
      <c r="G99" s="4"/>
      <c r="H99" s="4"/>
    </row>
    <row r="100" ht="15.75" customHeight="1">
      <c r="A100" s="4"/>
      <c r="B100" s="4"/>
      <c r="C100" s="4"/>
      <c r="D100" s="4"/>
      <c r="E100" s="4"/>
      <c r="F100" s="4"/>
      <c r="G100" s="4"/>
      <c r="H100" s="4"/>
    </row>
    <row r="101" ht="15.75" customHeight="1">
      <c r="A101" s="4"/>
      <c r="B101" s="4"/>
      <c r="C101" s="4"/>
      <c r="D101" s="4"/>
      <c r="E101" s="4"/>
      <c r="F101" s="4"/>
      <c r="G101" s="4"/>
      <c r="H101" s="4"/>
    </row>
    <row r="102" ht="15.75" customHeight="1">
      <c r="A102" s="4"/>
      <c r="B102" s="4"/>
      <c r="C102" s="4"/>
      <c r="D102" s="4"/>
      <c r="E102" s="4"/>
      <c r="F102" s="4"/>
      <c r="G102" s="4"/>
      <c r="H102" s="4"/>
    </row>
    <row r="103" ht="15.75" customHeight="1">
      <c r="A103" s="4"/>
      <c r="B103" s="4"/>
      <c r="C103" s="4"/>
      <c r="D103" s="4"/>
      <c r="E103" s="4"/>
      <c r="F103" s="4"/>
      <c r="G103" s="4"/>
      <c r="H103" s="4"/>
    </row>
    <row r="104" ht="15.75" customHeight="1">
      <c r="A104" s="4"/>
      <c r="B104" s="4"/>
      <c r="C104" s="4"/>
      <c r="D104" s="4"/>
      <c r="E104" s="4"/>
      <c r="F104" s="4"/>
      <c r="G104" s="4"/>
      <c r="H104" s="4"/>
    </row>
    <row r="105" ht="15.75" customHeight="1">
      <c r="A105" s="4"/>
      <c r="B105" s="4"/>
      <c r="C105" s="4"/>
      <c r="D105" s="4"/>
      <c r="E105" s="4"/>
      <c r="F105" s="4"/>
      <c r="G105" s="4"/>
      <c r="H105" s="4"/>
    </row>
    <row r="106" ht="15.75" customHeight="1">
      <c r="A106" s="4"/>
      <c r="B106" s="4"/>
      <c r="C106" s="4"/>
      <c r="D106" s="4"/>
      <c r="E106" s="4"/>
      <c r="F106" s="4"/>
      <c r="G106" s="4"/>
      <c r="H106" s="4"/>
    </row>
    <row r="107" ht="15.75" customHeight="1">
      <c r="A107" s="4"/>
      <c r="B107" s="4"/>
      <c r="C107" s="4"/>
      <c r="D107" s="4"/>
      <c r="E107" s="4"/>
      <c r="F107" s="4"/>
      <c r="G107" s="4"/>
      <c r="H107" s="4"/>
    </row>
    <row r="108" ht="15.75" customHeight="1">
      <c r="A108" s="4"/>
      <c r="B108" s="4"/>
      <c r="C108" s="4"/>
      <c r="D108" s="4"/>
      <c r="E108" s="4"/>
      <c r="F108" s="4"/>
      <c r="G108" s="4"/>
      <c r="H108" s="4"/>
    </row>
    <row r="109" ht="15.75" customHeight="1">
      <c r="A109" s="4"/>
      <c r="B109" s="4"/>
      <c r="C109" s="4"/>
      <c r="D109" s="4"/>
      <c r="E109" s="4"/>
      <c r="F109" s="4"/>
      <c r="G109" s="4"/>
      <c r="H109" s="4"/>
    </row>
    <row r="110" ht="15.75" customHeight="1">
      <c r="A110" s="4"/>
      <c r="B110" s="4"/>
      <c r="C110" s="4"/>
      <c r="D110" s="4"/>
      <c r="E110" s="4"/>
      <c r="F110" s="4"/>
      <c r="G110" s="4"/>
      <c r="H110" s="4"/>
    </row>
    <row r="111" ht="15.75" customHeight="1">
      <c r="A111" s="4"/>
      <c r="B111" s="4"/>
      <c r="C111" s="4"/>
      <c r="D111" s="4"/>
      <c r="E111" s="4"/>
      <c r="F111" s="4"/>
      <c r="G111" s="4"/>
      <c r="H111" s="4"/>
    </row>
    <row r="112" ht="15.75" customHeight="1">
      <c r="A112" s="4"/>
      <c r="B112" s="4"/>
      <c r="C112" s="4"/>
      <c r="D112" s="4"/>
      <c r="E112" s="4"/>
      <c r="F112" s="4"/>
      <c r="G112" s="4"/>
      <c r="H112" s="4"/>
    </row>
    <row r="113" ht="15.75" customHeight="1">
      <c r="A113" s="4"/>
      <c r="B113" s="4"/>
      <c r="C113" s="4"/>
      <c r="D113" s="4"/>
      <c r="E113" s="4"/>
      <c r="F113" s="4"/>
      <c r="G113" s="4"/>
      <c r="H113" s="4"/>
    </row>
    <row r="114" ht="15.75" customHeight="1">
      <c r="A114" s="4"/>
      <c r="B114" s="4"/>
      <c r="C114" s="4"/>
      <c r="D114" s="4"/>
      <c r="E114" s="4"/>
      <c r="F114" s="4"/>
      <c r="G114" s="4"/>
      <c r="H114" s="4"/>
    </row>
    <row r="115" ht="15.75" customHeight="1">
      <c r="A115" s="4"/>
      <c r="B115" s="4"/>
      <c r="C115" s="4"/>
      <c r="D115" s="4"/>
      <c r="E115" s="4"/>
      <c r="F115" s="4"/>
      <c r="G115" s="4"/>
      <c r="H115" s="4"/>
    </row>
    <row r="116" ht="15.75" customHeight="1">
      <c r="A116" s="4"/>
      <c r="B116" s="4"/>
      <c r="C116" s="4"/>
      <c r="D116" s="4"/>
      <c r="E116" s="4"/>
      <c r="F116" s="4"/>
      <c r="G116" s="4"/>
      <c r="H116" s="4"/>
    </row>
    <row r="117" ht="15.75" customHeight="1">
      <c r="A117" s="4"/>
      <c r="B117" s="4"/>
      <c r="C117" s="4"/>
      <c r="D117" s="4"/>
      <c r="E117" s="4"/>
      <c r="F117" s="4"/>
      <c r="G117" s="4"/>
      <c r="H117" s="4"/>
    </row>
    <row r="118" ht="15.75" customHeight="1">
      <c r="A118" s="4"/>
      <c r="B118" s="4"/>
      <c r="C118" s="4"/>
      <c r="D118" s="4"/>
      <c r="E118" s="4"/>
      <c r="F118" s="4"/>
      <c r="G118" s="4"/>
      <c r="H118" s="4"/>
    </row>
    <row r="119" ht="15.75" customHeight="1">
      <c r="A119" s="4"/>
      <c r="B119" s="4"/>
      <c r="C119" s="4"/>
      <c r="D119" s="4"/>
      <c r="E119" s="4"/>
      <c r="F119" s="4"/>
      <c r="G119" s="4"/>
      <c r="H119" s="4"/>
    </row>
    <row r="120" ht="15.75" customHeight="1">
      <c r="A120" s="4"/>
      <c r="B120" s="4"/>
      <c r="C120" s="4"/>
      <c r="D120" s="4"/>
      <c r="E120" s="4"/>
      <c r="F120" s="4"/>
      <c r="G120" s="4"/>
      <c r="H120" s="4"/>
    </row>
    <row r="121" ht="15.75" customHeight="1">
      <c r="A121" s="4"/>
      <c r="B121" s="4"/>
      <c r="C121" s="4"/>
      <c r="D121" s="4"/>
      <c r="E121" s="4"/>
      <c r="F121" s="4"/>
      <c r="G121" s="4"/>
      <c r="H121" s="4"/>
    </row>
    <row r="122" ht="15.75" customHeight="1">
      <c r="A122" s="4"/>
      <c r="B122" s="4"/>
      <c r="C122" s="4"/>
      <c r="D122" s="4"/>
      <c r="E122" s="4"/>
      <c r="F122" s="4"/>
      <c r="G122" s="4"/>
      <c r="H122" s="4"/>
    </row>
    <row r="123" ht="15.75" customHeight="1">
      <c r="A123" s="4"/>
      <c r="B123" s="4"/>
      <c r="C123" s="4"/>
      <c r="D123" s="4"/>
      <c r="E123" s="4"/>
      <c r="F123" s="4"/>
      <c r="G123" s="4"/>
      <c r="H123" s="4"/>
    </row>
    <row r="124" ht="15.75" customHeight="1">
      <c r="A124" s="4"/>
      <c r="B124" s="4"/>
      <c r="C124" s="4"/>
      <c r="D124" s="4"/>
      <c r="E124" s="4"/>
      <c r="F124" s="4"/>
      <c r="G124" s="4"/>
      <c r="H124" s="4"/>
    </row>
    <row r="125" ht="15.75" customHeight="1">
      <c r="A125" s="4"/>
      <c r="B125" s="4"/>
      <c r="C125" s="4"/>
      <c r="D125" s="4"/>
      <c r="E125" s="4"/>
      <c r="F125" s="4"/>
      <c r="G125" s="4"/>
      <c r="H125" s="4"/>
    </row>
    <row r="126" ht="15.75" customHeight="1">
      <c r="A126" s="4"/>
      <c r="B126" s="4"/>
      <c r="C126" s="4"/>
      <c r="D126" s="4"/>
      <c r="E126" s="4"/>
      <c r="F126" s="4"/>
      <c r="G126" s="4"/>
      <c r="H126" s="4"/>
    </row>
    <row r="127" ht="15.75" customHeight="1">
      <c r="A127" s="4"/>
      <c r="B127" s="4"/>
      <c r="C127" s="4"/>
      <c r="D127" s="4"/>
      <c r="E127" s="4"/>
      <c r="F127" s="4"/>
      <c r="G127" s="4"/>
      <c r="H127" s="4"/>
    </row>
    <row r="128" ht="15.75" customHeight="1">
      <c r="A128" s="4"/>
      <c r="B128" s="4"/>
      <c r="C128" s="4"/>
      <c r="D128" s="4"/>
      <c r="E128" s="4"/>
      <c r="F128" s="4"/>
      <c r="G128" s="4"/>
      <c r="H128" s="4"/>
    </row>
    <row r="129" ht="15.75" customHeight="1">
      <c r="A129" s="4"/>
      <c r="B129" s="4"/>
      <c r="C129" s="4"/>
      <c r="D129" s="4"/>
      <c r="E129" s="4"/>
      <c r="F129" s="4"/>
      <c r="G129" s="4"/>
      <c r="H129" s="4"/>
    </row>
    <row r="130" ht="15.75" customHeight="1">
      <c r="A130" s="4"/>
      <c r="B130" s="4"/>
      <c r="C130" s="4"/>
      <c r="D130" s="4"/>
      <c r="E130" s="4"/>
      <c r="F130" s="4"/>
      <c r="G130" s="4"/>
      <c r="H130" s="4"/>
    </row>
    <row r="131" ht="15.75" customHeight="1">
      <c r="A131" s="4"/>
      <c r="B131" s="4"/>
      <c r="C131" s="4"/>
      <c r="D131" s="4"/>
      <c r="E131" s="4"/>
      <c r="F131" s="4"/>
      <c r="G131" s="4"/>
      <c r="H131" s="4"/>
    </row>
    <row r="132" ht="15.75" customHeight="1">
      <c r="A132" s="4"/>
      <c r="B132" s="4"/>
      <c r="C132" s="4"/>
      <c r="D132" s="4"/>
      <c r="E132" s="4"/>
      <c r="F132" s="4"/>
      <c r="G132" s="4"/>
      <c r="H132" s="4"/>
    </row>
    <row r="133" ht="15.75" customHeight="1">
      <c r="A133" s="4"/>
      <c r="B133" s="4"/>
      <c r="C133" s="4"/>
      <c r="D133" s="4"/>
      <c r="E133" s="4"/>
      <c r="F133" s="4"/>
      <c r="G133" s="4"/>
      <c r="H133" s="4"/>
    </row>
    <row r="134" ht="15.75" customHeight="1">
      <c r="A134" s="4"/>
      <c r="B134" s="4"/>
      <c r="C134" s="4"/>
      <c r="D134" s="4"/>
      <c r="E134" s="4"/>
      <c r="F134" s="4"/>
      <c r="G134" s="4"/>
      <c r="H134" s="4"/>
    </row>
    <row r="135" ht="15.75" customHeight="1">
      <c r="A135" s="4"/>
      <c r="B135" s="4"/>
      <c r="C135" s="4"/>
      <c r="D135" s="4"/>
      <c r="E135" s="4"/>
      <c r="F135" s="4"/>
      <c r="G135" s="4"/>
      <c r="H135" s="4"/>
    </row>
    <row r="136" ht="15.75" customHeight="1">
      <c r="A136" s="4"/>
      <c r="B136" s="4"/>
      <c r="C136" s="4"/>
      <c r="D136" s="4"/>
      <c r="E136" s="4"/>
      <c r="F136" s="4"/>
      <c r="G136" s="4"/>
      <c r="H136" s="4"/>
    </row>
    <row r="137" ht="15.75" customHeight="1">
      <c r="A137" s="4"/>
      <c r="B137" s="4"/>
      <c r="C137" s="4"/>
      <c r="D137" s="4"/>
      <c r="E137" s="4"/>
      <c r="F137" s="4"/>
      <c r="G137" s="4"/>
      <c r="H137" s="4"/>
    </row>
    <row r="138" ht="15.75" customHeight="1">
      <c r="A138" s="4"/>
      <c r="B138" s="4"/>
      <c r="C138" s="4"/>
      <c r="D138" s="4"/>
      <c r="E138" s="4"/>
      <c r="F138" s="4"/>
      <c r="G138" s="4"/>
      <c r="H138" s="4"/>
    </row>
    <row r="139" ht="15.75" customHeight="1">
      <c r="A139" s="4"/>
      <c r="B139" s="4"/>
      <c r="C139" s="4"/>
      <c r="D139" s="4"/>
      <c r="E139" s="4"/>
      <c r="F139" s="4"/>
      <c r="G139" s="4"/>
      <c r="H139" s="4"/>
    </row>
    <row r="140" ht="15.75" customHeight="1">
      <c r="A140" s="4"/>
      <c r="B140" s="4"/>
      <c r="C140" s="4"/>
      <c r="D140" s="4"/>
      <c r="E140" s="4"/>
      <c r="F140" s="4"/>
      <c r="G140" s="4"/>
      <c r="H140" s="4"/>
    </row>
    <row r="141" ht="15.75" customHeight="1">
      <c r="A141" s="4"/>
      <c r="B141" s="4"/>
      <c r="C141" s="4"/>
      <c r="D141" s="4"/>
      <c r="E141" s="4"/>
      <c r="F141" s="4"/>
      <c r="G141" s="4"/>
      <c r="H141" s="4"/>
    </row>
    <row r="142" ht="15.75" customHeight="1">
      <c r="A142" s="4"/>
      <c r="B142" s="4"/>
      <c r="C142" s="4"/>
      <c r="D142" s="4"/>
      <c r="E142" s="4"/>
      <c r="F142" s="4"/>
      <c r="G142" s="4"/>
      <c r="H142" s="4"/>
    </row>
    <row r="143" ht="15.75" customHeight="1">
      <c r="A143" s="4"/>
      <c r="B143" s="4"/>
      <c r="C143" s="4"/>
      <c r="D143" s="4"/>
      <c r="E143" s="4"/>
      <c r="F143" s="4"/>
      <c r="G143" s="4"/>
      <c r="H143" s="4"/>
    </row>
    <row r="144" ht="15.75" customHeight="1">
      <c r="A144" s="4"/>
      <c r="B144" s="4"/>
      <c r="C144" s="4"/>
      <c r="D144" s="4"/>
      <c r="E144" s="4"/>
      <c r="F144" s="4"/>
      <c r="G144" s="4"/>
      <c r="H144" s="4"/>
    </row>
    <row r="145" ht="15.75" customHeight="1">
      <c r="A145" s="4"/>
      <c r="B145" s="4"/>
      <c r="C145" s="4"/>
      <c r="D145" s="4"/>
      <c r="E145" s="4"/>
      <c r="F145" s="4"/>
      <c r="G145" s="4"/>
      <c r="H145" s="4"/>
    </row>
    <row r="146" ht="15.75" customHeight="1">
      <c r="A146" s="4"/>
      <c r="B146" s="4"/>
      <c r="C146" s="4"/>
      <c r="D146" s="4"/>
      <c r="E146" s="4"/>
      <c r="F146" s="4"/>
      <c r="G146" s="4"/>
      <c r="H146" s="4"/>
    </row>
    <row r="147" ht="15.75" customHeight="1">
      <c r="A147" s="4"/>
      <c r="B147" s="4"/>
      <c r="C147" s="4"/>
      <c r="D147" s="4"/>
      <c r="E147" s="4"/>
      <c r="F147" s="4"/>
      <c r="G147" s="4"/>
      <c r="H147" s="4"/>
    </row>
    <row r="148" ht="15.75" customHeight="1">
      <c r="A148" s="4"/>
      <c r="B148" s="4"/>
      <c r="C148" s="4"/>
      <c r="D148" s="4"/>
      <c r="E148" s="4"/>
      <c r="F148" s="4"/>
      <c r="G148" s="4"/>
      <c r="H148" s="4"/>
    </row>
    <row r="149" ht="15.75" customHeight="1">
      <c r="A149" s="4"/>
      <c r="B149" s="4"/>
      <c r="C149" s="4"/>
      <c r="D149" s="4"/>
      <c r="E149" s="4"/>
      <c r="F149" s="4"/>
      <c r="G149" s="4"/>
      <c r="H149" s="4"/>
    </row>
    <row r="150" ht="15.75" customHeight="1">
      <c r="A150" s="4"/>
      <c r="B150" s="4"/>
      <c r="C150" s="4"/>
      <c r="D150" s="4"/>
      <c r="E150" s="4"/>
      <c r="F150" s="4"/>
      <c r="G150" s="4"/>
      <c r="H150" s="4"/>
    </row>
    <row r="151" ht="15.75" customHeight="1">
      <c r="A151" s="4"/>
      <c r="B151" s="4"/>
      <c r="C151" s="4"/>
      <c r="D151" s="4"/>
      <c r="E151" s="4"/>
      <c r="F151" s="4"/>
      <c r="G151" s="4"/>
      <c r="H151" s="4"/>
    </row>
    <row r="152" ht="15.75" customHeight="1">
      <c r="A152" s="4"/>
      <c r="B152" s="4"/>
      <c r="C152" s="4"/>
      <c r="D152" s="4"/>
      <c r="E152" s="4"/>
      <c r="F152" s="4"/>
      <c r="G152" s="4"/>
      <c r="H152" s="4"/>
    </row>
    <row r="153" ht="15.75" customHeight="1">
      <c r="A153" s="4"/>
      <c r="B153" s="4"/>
      <c r="C153" s="4"/>
      <c r="D153" s="4"/>
      <c r="E153" s="4"/>
      <c r="F153" s="4"/>
      <c r="G153" s="4"/>
      <c r="H153" s="4"/>
    </row>
    <row r="154" ht="15.75" customHeight="1">
      <c r="A154" s="4"/>
      <c r="B154" s="4"/>
      <c r="C154" s="4"/>
      <c r="D154" s="4"/>
      <c r="E154" s="4"/>
      <c r="F154" s="4"/>
      <c r="G154" s="4"/>
      <c r="H154" s="4"/>
    </row>
    <row r="155" ht="15.75" customHeight="1">
      <c r="A155" s="4"/>
      <c r="B155" s="4"/>
      <c r="C155" s="4"/>
      <c r="D155" s="4"/>
      <c r="E155" s="4"/>
      <c r="F155" s="4"/>
      <c r="G155" s="4"/>
      <c r="H155" s="4"/>
    </row>
    <row r="156" ht="15.75" customHeight="1">
      <c r="A156" s="4"/>
      <c r="B156" s="4"/>
      <c r="C156" s="4"/>
      <c r="D156" s="4"/>
      <c r="E156" s="4"/>
      <c r="F156" s="4"/>
      <c r="G156" s="4"/>
      <c r="H156" s="4"/>
    </row>
    <row r="157" ht="15.75" customHeight="1">
      <c r="A157" s="4"/>
      <c r="B157" s="4"/>
      <c r="C157" s="4"/>
      <c r="D157" s="4"/>
      <c r="E157" s="4"/>
      <c r="F157" s="4"/>
      <c r="G157" s="4"/>
      <c r="H157" s="4"/>
    </row>
    <row r="158" ht="15.75" customHeight="1">
      <c r="A158" s="4"/>
      <c r="B158" s="4"/>
      <c r="C158" s="4"/>
      <c r="D158" s="4"/>
      <c r="E158" s="4"/>
      <c r="F158" s="4"/>
      <c r="G158" s="4"/>
      <c r="H158" s="4"/>
    </row>
    <row r="159" ht="15.75" customHeight="1">
      <c r="A159" s="4"/>
      <c r="B159" s="4"/>
      <c r="C159" s="4"/>
      <c r="D159" s="4"/>
      <c r="E159" s="4"/>
      <c r="F159" s="4"/>
      <c r="G159" s="4"/>
      <c r="H159" s="4"/>
    </row>
    <row r="160" ht="15.75" customHeight="1">
      <c r="A160" s="4"/>
      <c r="B160" s="4"/>
      <c r="C160" s="4"/>
      <c r="D160" s="4"/>
      <c r="E160" s="4"/>
      <c r="F160" s="4"/>
      <c r="G160" s="4"/>
      <c r="H160" s="4"/>
    </row>
    <row r="161" ht="15.75" customHeight="1">
      <c r="A161" s="4"/>
      <c r="B161" s="4"/>
      <c r="C161" s="4"/>
      <c r="D161" s="4"/>
      <c r="E161" s="4"/>
      <c r="F161" s="4"/>
      <c r="G161" s="4"/>
      <c r="H161" s="4"/>
    </row>
    <row r="162" ht="15.75" customHeight="1">
      <c r="A162" s="4"/>
      <c r="B162" s="4"/>
      <c r="C162" s="4"/>
      <c r="D162" s="4"/>
      <c r="E162" s="4"/>
      <c r="F162" s="4"/>
      <c r="G162" s="4"/>
      <c r="H162" s="4"/>
    </row>
    <row r="163" ht="15.75" customHeight="1">
      <c r="A163" s="4"/>
      <c r="B163" s="4"/>
      <c r="C163" s="4"/>
      <c r="D163" s="4"/>
      <c r="E163" s="4"/>
      <c r="F163" s="4"/>
      <c r="G163" s="4"/>
      <c r="H163" s="4"/>
    </row>
    <row r="164" ht="15.75" customHeight="1">
      <c r="A164" s="4"/>
      <c r="B164" s="4"/>
      <c r="C164" s="4"/>
      <c r="D164" s="4"/>
      <c r="E164" s="4"/>
      <c r="F164" s="4"/>
      <c r="G164" s="4"/>
      <c r="H164" s="4"/>
    </row>
    <row r="165" ht="15.75" customHeight="1">
      <c r="A165" s="4"/>
      <c r="B165" s="4"/>
      <c r="C165" s="4"/>
      <c r="D165" s="4"/>
      <c r="E165" s="4"/>
      <c r="F165" s="4"/>
      <c r="G165" s="4"/>
      <c r="H165" s="4"/>
    </row>
    <row r="166" ht="15.75" customHeight="1">
      <c r="A166" s="4"/>
      <c r="B166" s="4"/>
      <c r="C166" s="4"/>
      <c r="D166" s="4"/>
      <c r="E166" s="4"/>
      <c r="F166" s="4"/>
      <c r="G166" s="4"/>
      <c r="H166" s="4"/>
    </row>
    <row r="167" ht="15.75" customHeight="1">
      <c r="A167" s="4"/>
      <c r="B167" s="4"/>
      <c r="C167" s="4"/>
      <c r="D167" s="4"/>
      <c r="E167" s="4"/>
      <c r="F167" s="4"/>
      <c r="G167" s="4"/>
      <c r="H167" s="4"/>
    </row>
    <row r="168" ht="15.75" customHeight="1">
      <c r="A168" s="4"/>
      <c r="B168" s="4"/>
      <c r="C168" s="4"/>
      <c r="D168" s="4"/>
      <c r="E168" s="4"/>
      <c r="F168" s="4"/>
      <c r="G168" s="4"/>
      <c r="H168" s="4"/>
    </row>
    <row r="169" ht="15.75" customHeight="1">
      <c r="A169" s="4"/>
      <c r="B169" s="4"/>
      <c r="C169" s="4"/>
      <c r="D169" s="4"/>
      <c r="E169" s="4"/>
      <c r="F169" s="4"/>
      <c r="G169" s="4"/>
      <c r="H169" s="4"/>
    </row>
    <row r="170" ht="15.75" customHeight="1">
      <c r="A170" s="4"/>
      <c r="B170" s="4"/>
      <c r="C170" s="4"/>
      <c r="D170" s="4"/>
      <c r="E170" s="4"/>
      <c r="F170" s="4"/>
      <c r="G170" s="4"/>
      <c r="H170" s="4"/>
    </row>
    <row r="171" ht="15.75" customHeight="1">
      <c r="A171" s="4"/>
      <c r="B171" s="4"/>
      <c r="C171" s="4"/>
      <c r="D171" s="4"/>
      <c r="E171" s="4"/>
      <c r="F171" s="4"/>
      <c r="G171" s="4"/>
      <c r="H171" s="4"/>
    </row>
    <row r="172" ht="15.75" customHeight="1">
      <c r="A172" s="4"/>
      <c r="B172" s="4"/>
      <c r="C172" s="4"/>
      <c r="D172" s="4"/>
      <c r="E172" s="4"/>
      <c r="F172" s="4"/>
      <c r="G172" s="4"/>
      <c r="H172" s="4"/>
    </row>
    <row r="173" ht="15.75" customHeight="1">
      <c r="A173" s="4"/>
      <c r="B173" s="4"/>
      <c r="C173" s="4"/>
      <c r="D173" s="4"/>
      <c r="E173" s="4"/>
      <c r="F173" s="4"/>
      <c r="G173" s="4"/>
      <c r="H173" s="4"/>
    </row>
    <row r="174" ht="15.75" customHeight="1">
      <c r="A174" s="4"/>
      <c r="B174" s="4"/>
      <c r="C174" s="4"/>
      <c r="D174" s="4"/>
      <c r="E174" s="4"/>
      <c r="F174" s="4"/>
      <c r="G174" s="4"/>
      <c r="H174" s="4"/>
    </row>
    <row r="175" ht="15.75" customHeight="1">
      <c r="A175" s="4"/>
      <c r="B175" s="4"/>
      <c r="C175" s="4"/>
      <c r="D175" s="4"/>
      <c r="E175" s="4"/>
      <c r="F175" s="4"/>
      <c r="G175" s="4"/>
      <c r="H175" s="4"/>
    </row>
    <row r="176" ht="15.75" customHeight="1">
      <c r="A176" s="4"/>
      <c r="B176" s="4"/>
      <c r="C176" s="4"/>
      <c r="D176" s="4"/>
      <c r="E176" s="4"/>
      <c r="F176" s="4"/>
      <c r="G176" s="4"/>
      <c r="H176" s="4"/>
    </row>
    <row r="177" ht="15.75" customHeight="1">
      <c r="A177" s="4"/>
      <c r="B177" s="4"/>
      <c r="C177" s="4"/>
      <c r="D177" s="4"/>
      <c r="E177" s="4"/>
      <c r="F177" s="4"/>
      <c r="G177" s="4"/>
      <c r="H177" s="4"/>
    </row>
    <row r="178" ht="15.75" customHeight="1">
      <c r="A178" s="4"/>
      <c r="B178" s="4"/>
      <c r="C178" s="4"/>
      <c r="D178" s="4"/>
      <c r="E178" s="4"/>
      <c r="F178" s="4"/>
      <c r="G178" s="4"/>
      <c r="H178" s="4"/>
    </row>
    <row r="179" ht="15.75" customHeight="1">
      <c r="A179" s="4"/>
      <c r="B179" s="4"/>
      <c r="C179" s="4"/>
      <c r="D179" s="4"/>
      <c r="E179" s="4"/>
      <c r="F179" s="4"/>
      <c r="G179" s="4"/>
      <c r="H179" s="4"/>
    </row>
    <row r="180" ht="15.75" customHeight="1">
      <c r="A180" s="4"/>
      <c r="B180" s="4"/>
      <c r="C180" s="4"/>
      <c r="D180" s="4"/>
      <c r="E180" s="4"/>
      <c r="F180" s="4"/>
      <c r="G180" s="4"/>
      <c r="H180" s="4"/>
    </row>
    <row r="181" ht="15.75" customHeight="1">
      <c r="A181" s="4"/>
      <c r="B181" s="4"/>
      <c r="C181" s="4"/>
      <c r="D181" s="4"/>
      <c r="E181" s="4"/>
      <c r="F181" s="4"/>
      <c r="G181" s="4"/>
      <c r="H181" s="4"/>
    </row>
    <row r="182" ht="15.75" customHeight="1">
      <c r="A182" s="4"/>
      <c r="B182" s="4"/>
      <c r="C182" s="4"/>
      <c r="D182" s="4"/>
      <c r="E182" s="4"/>
      <c r="F182" s="4"/>
      <c r="G182" s="4"/>
      <c r="H182" s="4"/>
    </row>
    <row r="183" ht="15.75" customHeight="1">
      <c r="A183" s="4"/>
      <c r="B183" s="4"/>
      <c r="C183" s="4"/>
      <c r="D183" s="4"/>
      <c r="E183" s="4"/>
      <c r="F183" s="4"/>
      <c r="G183" s="4"/>
      <c r="H183" s="4"/>
    </row>
    <row r="184" ht="15.75" customHeight="1">
      <c r="A184" s="4"/>
      <c r="B184" s="4"/>
      <c r="C184" s="4"/>
      <c r="D184" s="4"/>
      <c r="E184" s="4"/>
      <c r="F184" s="4"/>
      <c r="G184" s="4"/>
      <c r="H184" s="4"/>
    </row>
    <row r="185" ht="15.75" customHeight="1">
      <c r="A185" s="4"/>
      <c r="B185" s="4"/>
      <c r="C185" s="4"/>
      <c r="D185" s="4"/>
      <c r="E185" s="4"/>
      <c r="F185" s="4"/>
      <c r="G185" s="4"/>
      <c r="H185" s="4"/>
    </row>
    <row r="186" ht="15.75" customHeight="1">
      <c r="A186" s="4"/>
      <c r="B186" s="4"/>
      <c r="C186" s="4"/>
      <c r="D186" s="4"/>
      <c r="E186" s="4"/>
      <c r="F186" s="4"/>
      <c r="G186" s="4"/>
      <c r="H186" s="4"/>
    </row>
    <row r="187" ht="15.75" customHeight="1">
      <c r="A187" s="4"/>
      <c r="B187" s="4"/>
      <c r="C187" s="4"/>
      <c r="D187" s="4"/>
      <c r="E187" s="4"/>
      <c r="F187" s="4"/>
      <c r="G187" s="4"/>
      <c r="H187" s="4"/>
    </row>
    <row r="188" ht="15.75" customHeight="1">
      <c r="A188" s="4"/>
      <c r="B188" s="4"/>
      <c r="C188" s="4"/>
      <c r="D188" s="4"/>
      <c r="E188" s="4"/>
      <c r="F188" s="4"/>
      <c r="G188" s="4"/>
      <c r="H188" s="4"/>
    </row>
    <row r="189" ht="15.75" customHeight="1">
      <c r="A189" s="4"/>
      <c r="B189" s="4"/>
      <c r="C189" s="4"/>
      <c r="D189" s="4"/>
      <c r="E189" s="4"/>
      <c r="F189" s="4"/>
      <c r="G189" s="4"/>
      <c r="H189" s="4"/>
    </row>
    <row r="190" ht="15.75" customHeight="1">
      <c r="A190" s="4"/>
      <c r="B190" s="4"/>
      <c r="C190" s="4"/>
      <c r="D190" s="4"/>
      <c r="E190" s="4"/>
      <c r="F190" s="4"/>
      <c r="G190" s="4"/>
      <c r="H190" s="4"/>
    </row>
    <row r="191" ht="15.75" customHeight="1">
      <c r="A191" s="4"/>
      <c r="B191" s="4"/>
      <c r="C191" s="4"/>
      <c r="D191" s="4"/>
      <c r="E191" s="4"/>
      <c r="F191" s="4"/>
      <c r="G191" s="4"/>
      <c r="H191" s="4"/>
    </row>
    <row r="192" ht="15.75" customHeight="1">
      <c r="A192" s="4"/>
      <c r="B192" s="4"/>
      <c r="C192" s="4"/>
      <c r="D192" s="4"/>
      <c r="E192" s="4"/>
      <c r="F192" s="4"/>
      <c r="G192" s="4"/>
      <c r="H192" s="4"/>
    </row>
    <row r="193" ht="15.75" customHeight="1">
      <c r="A193" s="4"/>
      <c r="B193" s="4"/>
      <c r="C193" s="4"/>
      <c r="D193" s="4"/>
      <c r="E193" s="4"/>
      <c r="F193" s="4"/>
      <c r="G193" s="4"/>
      <c r="H193" s="4"/>
    </row>
    <row r="194" ht="15.75" customHeight="1">
      <c r="A194" s="4"/>
      <c r="B194" s="4"/>
      <c r="C194" s="4"/>
      <c r="D194" s="4"/>
      <c r="E194" s="4"/>
      <c r="F194" s="4"/>
      <c r="G194" s="4"/>
      <c r="H194" s="4"/>
    </row>
    <row r="195" ht="15.75" customHeight="1">
      <c r="A195" s="4"/>
      <c r="B195" s="4"/>
      <c r="C195" s="4"/>
      <c r="D195" s="4"/>
      <c r="E195" s="4"/>
      <c r="F195" s="4"/>
      <c r="G195" s="4"/>
      <c r="H195" s="4"/>
    </row>
    <row r="196" ht="15.75" customHeight="1">
      <c r="A196" s="4"/>
      <c r="B196" s="4"/>
      <c r="C196" s="4"/>
      <c r="D196" s="4"/>
      <c r="E196" s="4"/>
      <c r="F196" s="4"/>
      <c r="G196" s="4"/>
      <c r="H196" s="4"/>
    </row>
    <row r="197" ht="15.75" customHeight="1">
      <c r="A197" s="4"/>
      <c r="B197" s="4"/>
      <c r="C197" s="4"/>
      <c r="D197" s="4"/>
      <c r="E197" s="4"/>
      <c r="F197" s="4"/>
      <c r="G197" s="4"/>
      <c r="H197" s="4"/>
    </row>
    <row r="198" ht="15.75" customHeight="1">
      <c r="A198" s="4"/>
      <c r="B198" s="4"/>
      <c r="C198" s="4"/>
      <c r="D198" s="4"/>
      <c r="E198" s="4"/>
      <c r="F198" s="4"/>
      <c r="G198" s="4"/>
      <c r="H198" s="4"/>
    </row>
    <row r="199" ht="15.75" customHeight="1">
      <c r="A199" s="4"/>
      <c r="B199" s="4"/>
      <c r="C199" s="4"/>
      <c r="D199" s="4"/>
      <c r="E199" s="4"/>
      <c r="F199" s="4"/>
      <c r="G199" s="4"/>
      <c r="H199" s="4"/>
    </row>
    <row r="200" ht="15.75" customHeight="1">
      <c r="A200" s="4"/>
      <c r="B200" s="4"/>
      <c r="C200" s="4"/>
      <c r="D200" s="4"/>
      <c r="E200" s="4"/>
      <c r="F200" s="4"/>
      <c r="G200" s="4"/>
      <c r="H200" s="4"/>
    </row>
    <row r="201" ht="15.75" customHeight="1">
      <c r="A201" s="4"/>
      <c r="B201" s="4"/>
      <c r="C201" s="4"/>
      <c r="D201" s="4"/>
      <c r="E201" s="4"/>
      <c r="F201" s="4"/>
      <c r="G201" s="4"/>
      <c r="H201" s="4"/>
    </row>
    <row r="202" ht="15.75" customHeight="1">
      <c r="A202" s="4"/>
      <c r="B202" s="4"/>
      <c r="C202" s="4"/>
      <c r="D202" s="4"/>
      <c r="E202" s="4"/>
      <c r="F202" s="4"/>
      <c r="G202" s="4"/>
      <c r="H202" s="4"/>
    </row>
    <row r="203" ht="15.75" customHeight="1">
      <c r="A203" s="4"/>
      <c r="B203" s="4"/>
      <c r="C203" s="4"/>
      <c r="D203" s="4"/>
      <c r="E203" s="4"/>
      <c r="F203" s="4"/>
      <c r="G203" s="4"/>
      <c r="H203" s="4"/>
    </row>
    <row r="204" ht="15.75" customHeight="1">
      <c r="A204" s="4"/>
      <c r="B204" s="4"/>
      <c r="C204" s="4"/>
      <c r="D204" s="4"/>
      <c r="E204" s="4"/>
      <c r="F204" s="4"/>
      <c r="G204" s="4"/>
      <c r="H204" s="4"/>
    </row>
    <row r="205" ht="15.75" customHeight="1">
      <c r="A205" s="4"/>
      <c r="B205" s="4"/>
      <c r="C205" s="4"/>
      <c r="D205" s="4"/>
      <c r="E205" s="4"/>
      <c r="F205" s="4"/>
      <c r="G205" s="4"/>
      <c r="H205" s="4"/>
    </row>
    <row r="206" ht="15.75" customHeight="1">
      <c r="A206" s="4"/>
      <c r="B206" s="4"/>
      <c r="C206" s="4"/>
      <c r="D206" s="4"/>
      <c r="E206" s="4"/>
      <c r="F206" s="4"/>
      <c r="G206" s="4"/>
      <c r="H206" s="4"/>
    </row>
    <row r="207" ht="15.75" customHeight="1">
      <c r="A207" s="4"/>
      <c r="B207" s="4"/>
      <c r="C207" s="4"/>
      <c r="D207" s="4"/>
      <c r="E207" s="4"/>
      <c r="F207" s="4"/>
      <c r="G207" s="4"/>
      <c r="H207" s="4"/>
    </row>
    <row r="208" ht="15.75" customHeight="1">
      <c r="A208" s="4"/>
      <c r="B208" s="4"/>
      <c r="C208" s="4"/>
      <c r="D208" s="4"/>
      <c r="E208" s="4"/>
      <c r="F208" s="4"/>
      <c r="G208" s="4"/>
      <c r="H208" s="4"/>
    </row>
    <row r="209" ht="15.75" customHeight="1">
      <c r="A209" s="4"/>
      <c r="B209" s="4"/>
      <c r="C209" s="4"/>
      <c r="D209" s="4"/>
      <c r="E209" s="4"/>
      <c r="F209" s="4"/>
      <c r="G209" s="4"/>
      <c r="H209" s="4"/>
    </row>
    <row r="210" ht="15.75" customHeight="1">
      <c r="A210" s="4"/>
      <c r="B210" s="4"/>
      <c r="C210" s="4"/>
      <c r="D210" s="4"/>
      <c r="E210" s="4"/>
      <c r="F210" s="4"/>
      <c r="G210" s="4"/>
      <c r="H210" s="4"/>
    </row>
    <row r="211" ht="15.75" customHeight="1">
      <c r="A211" s="4"/>
      <c r="B211" s="4"/>
      <c r="C211" s="4"/>
      <c r="D211" s="4"/>
      <c r="E211" s="4"/>
      <c r="F211" s="4"/>
      <c r="G211" s="4"/>
      <c r="H211" s="4"/>
    </row>
    <row r="212" ht="15.75" customHeight="1">
      <c r="A212" s="4"/>
      <c r="B212" s="4"/>
      <c r="C212" s="4"/>
      <c r="D212" s="4"/>
      <c r="E212" s="4"/>
      <c r="F212" s="4"/>
      <c r="G212" s="4"/>
      <c r="H212" s="4"/>
    </row>
    <row r="213" ht="15.75" customHeight="1">
      <c r="A213" s="4"/>
      <c r="B213" s="4"/>
      <c r="C213" s="4"/>
      <c r="D213" s="4"/>
      <c r="E213" s="4"/>
      <c r="F213" s="4"/>
      <c r="G213" s="4"/>
      <c r="H213" s="4"/>
    </row>
    <row r="214" ht="15.75" customHeight="1">
      <c r="A214" s="4"/>
      <c r="B214" s="4"/>
      <c r="C214" s="4"/>
      <c r="D214" s="4"/>
      <c r="E214" s="4"/>
      <c r="F214" s="4"/>
      <c r="G214" s="4"/>
      <c r="H214" s="4"/>
    </row>
    <row r="215" ht="15.75" customHeight="1">
      <c r="A215" s="4"/>
      <c r="B215" s="4"/>
      <c r="C215" s="4"/>
      <c r="D215" s="4"/>
      <c r="E215" s="4"/>
      <c r="F215" s="4"/>
      <c r="G215" s="4"/>
      <c r="H215" s="4"/>
    </row>
    <row r="216" ht="15.75" customHeight="1">
      <c r="A216" s="4"/>
      <c r="B216" s="4"/>
      <c r="C216" s="4"/>
      <c r="D216" s="4"/>
      <c r="E216" s="4"/>
      <c r="F216" s="4"/>
      <c r="G216" s="4"/>
      <c r="H216" s="4"/>
    </row>
    <row r="217" ht="15.75" customHeight="1">
      <c r="A217" s="4"/>
      <c r="B217" s="4"/>
      <c r="C217" s="4"/>
      <c r="D217" s="4"/>
      <c r="E217" s="4"/>
      <c r="F217" s="4"/>
      <c r="G217" s="4"/>
      <c r="H217" s="4"/>
    </row>
    <row r="218" ht="15.75" customHeight="1">
      <c r="A218" s="4"/>
      <c r="B218" s="4"/>
      <c r="C218" s="4"/>
      <c r="D218" s="4"/>
      <c r="E218" s="4"/>
      <c r="F218" s="4"/>
      <c r="G218" s="4"/>
      <c r="H218" s="4"/>
    </row>
    <row r="219" ht="15.75" customHeight="1">
      <c r="A219" s="4"/>
      <c r="B219" s="4"/>
      <c r="C219" s="4"/>
      <c r="D219" s="4"/>
      <c r="E219" s="4"/>
      <c r="F219" s="4"/>
      <c r="G219" s="4"/>
      <c r="H219" s="4"/>
    </row>
    <row r="220" ht="15.75" customHeight="1">
      <c r="A220" s="4"/>
      <c r="B220" s="4"/>
      <c r="C220" s="4"/>
      <c r="D220" s="4"/>
      <c r="E220" s="4"/>
      <c r="F220" s="4"/>
      <c r="G220" s="4"/>
      <c r="H220" s="4"/>
    </row>
    <row r="221" ht="15.75" customHeight="1">
      <c r="A221" s="4"/>
      <c r="B221" s="4"/>
      <c r="C221" s="4"/>
      <c r="D221" s="4"/>
      <c r="E221" s="4"/>
      <c r="F221" s="4"/>
      <c r="G221" s="4"/>
      <c r="H221" s="4"/>
    </row>
    <row r="222" ht="15.75" customHeight="1">
      <c r="A222" s="4"/>
      <c r="B222" s="4"/>
      <c r="C222" s="4"/>
      <c r="D222" s="4"/>
      <c r="E222" s="4"/>
      <c r="F222" s="4"/>
      <c r="G222" s="4"/>
      <c r="H222" s="4"/>
    </row>
    <row r="223" ht="15.75" customHeight="1">
      <c r="A223" s="4"/>
      <c r="B223" s="4"/>
      <c r="C223" s="4"/>
      <c r="D223" s="4"/>
      <c r="E223" s="4"/>
      <c r="F223" s="4"/>
      <c r="G223" s="4"/>
      <c r="H223" s="4"/>
    </row>
    <row r="224" ht="15.75" customHeight="1">
      <c r="A224" s="4"/>
      <c r="B224" s="4"/>
      <c r="C224" s="4"/>
      <c r="D224" s="4"/>
      <c r="E224" s="4"/>
      <c r="F224" s="4"/>
      <c r="G224" s="4"/>
      <c r="H224" s="4"/>
    </row>
    <row r="225" ht="15.75" customHeight="1">
      <c r="A225" s="4"/>
      <c r="B225" s="4"/>
      <c r="C225" s="4"/>
      <c r="D225" s="4"/>
      <c r="E225" s="4"/>
      <c r="F225" s="4"/>
      <c r="G225" s="4"/>
      <c r="H225" s="4"/>
    </row>
    <row r="226" ht="15.75" customHeight="1">
      <c r="A226" s="4"/>
      <c r="B226" s="4"/>
      <c r="C226" s="4"/>
      <c r="D226" s="4"/>
      <c r="E226" s="4"/>
      <c r="F226" s="4"/>
      <c r="G226" s="4"/>
      <c r="H226" s="4"/>
    </row>
    <row r="227" ht="15.75" customHeight="1">
      <c r="A227" s="4"/>
      <c r="B227" s="4"/>
      <c r="C227" s="4"/>
      <c r="D227" s="4"/>
      <c r="E227" s="4"/>
      <c r="F227" s="4"/>
      <c r="G227" s="4"/>
      <c r="H227" s="4"/>
    </row>
    <row r="228" ht="15.75" customHeight="1">
      <c r="A228" s="4"/>
      <c r="B228" s="4"/>
      <c r="C228" s="4"/>
      <c r="D228" s="4"/>
      <c r="E228" s="4"/>
      <c r="F228" s="4"/>
      <c r="G228" s="4"/>
      <c r="H228" s="4"/>
    </row>
    <row r="229" ht="15.75" customHeight="1">
      <c r="A229" s="4"/>
      <c r="B229" s="4"/>
      <c r="C229" s="4"/>
      <c r="D229" s="4"/>
      <c r="E229" s="4"/>
      <c r="F229" s="4"/>
      <c r="G229" s="4"/>
      <c r="H229" s="4"/>
    </row>
    <row r="230" ht="15.75" customHeight="1">
      <c r="A230" s="4"/>
      <c r="B230" s="4"/>
      <c r="C230" s="4"/>
      <c r="D230" s="4"/>
      <c r="E230" s="4"/>
      <c r="F230" s="4"/>
      <c r="G230" s="4"/>
      <c r="H230" s="4"/>
    </row>
    <row r="231" ht="15.75" customHeight="1">
      <c r="A231" s="4"/>
      <c r="B231" s="4"/>
      <c r="C231" s="4"/>
      <c r="D231" s="4"/>
      <c r="E231" s="4"/>
      <c r="F231" s="4"/>
      <c r="G231" s="4"/>
      <c r="H231" s="4"/>
    </row>
    <row r="232" ht="15.75" customHeight="1">
      <c r="A232" s="4"/>
      <c r="B232" s="4"/>
      <c r="C232" s="4"/>
      <c r="D232" s="4"/>
      <c r="E232" s="4"/>
      <c r="F232" s="4"/>
      <c r="G232" s="4"/>
      <c r="H232" s="4"/>
    </row>
    <row r="233" ht="15.75" customHeight="1">
      <c r="A233" s="4"/>
      <c r="B233" s="4"/>
      <c r="C233" s="4"/>
      <c r="D233" s="4"/>
      <c r="E233" s="4"/>
      <c r="F233" s="4"/>
      <c r="G233" s="4"/>
      <c r="H233" s="4"/>
    </row>
    <row r="234" ht="15.75" customHeight="1">
      <c r="A234" s="4"/>
      <c r="B234" s="4"/>
      <c r="C234" s="4"/>
      <c r="D234" s="4"/>
      <c r="E234" s="4"/>
      <c r="F234" s="4"/>
      <c r="G234" s="4"/>
      <c r="H234" s="4"/>
    </row>
    <row r="235" ht="15.75" customHeight="1">
      <c r="A235" s="4"/>
      <c r="B235" s="4"/>
      <c r="C235" s="4"/>
      <c r="D235" s="4"/>
      <c r="E235" s="4"/>
      <c r="F235" s="4"/>
      <c r="G235" s="4"/>
      <c r="H235" s="4"/>
    </row>
    <row r="236" ht="15.75" customHeight="1">
      <c r="A236" s="4"/>
      <c r="B236" s="4"/>
      <c r="C236" s="4"/>
      <c r="D236" s="4"/>
      <c r="E236" s="4"/>
      <c r="F236" s="4"/>
      <c r="G236" s="4"/>
      <c r="H236" s="4"/>
    </row>
    <row r="237" ht="15.75" customHeight="1">
      <c r="A237" s="4"/>
      <c r="B237" s="4"/>
      <c r="C237" s="4"/>
      <c r="D237" s="4"/>
      <c r="E237" s="4"/>
      <c r="F237" s="4"/>
      <c r="G237" s="4"/>
      <c r="H237" s="4"/>
    </row>
    <row r="238" ht="15.75" customHeight="1">
      <c r="A238" s="4"/>
      <c r="B238" s="4"/>
      <c r="C238" s="4"/>
      <c r="D238" s="4"/>
      <c r="E238" s="4"/>
      <c r="F238" s="4"/>
      <c r="G238" s="4"/>
      <c r="H238" s="4"/>
    </row>
    <row r="239" ht="15.75" customHeight="1">
      <c r="A239" s="4"/>
      <c r="B239" s="4"/>
      <c r="C239" s="4"/>
      <c r="D239" s="4"/>
      <c r="E239" s="4"/>
      <c r="F239" s="4"/>
      <c r="G239" s="4"/>
      <c r="H239" s="4"/>
    </row>
    <row r="240" ht="15.75" customHeight="1">
      <c r="A240" s="4"/>
      <c r="B240" s="4"/>
      <c r="C240" s="4"/>
      <c r="D240" s="4"/>
      <c r="E240" s="4"/>
      <c r="F240" s="4"/>
      <c r="G240" s="4"/>
      <c r="H240" s="4"/>
    </row>
    <row r="241" ht="15.75" customHeight="1">
      <c r="A241" s="4"/>
      <c r="B241" s="4"/>
      <c r="C241" s="4"/>
      <c r="D241" s="4"/>
      <c r="E241" s="4"/>
      <c r="F241" s="4"/>
      <c r="G241" s="4"/>
      <c r="H241" s="4"/>
    </row>
    <row r="242" ht="15.75" customHeight="1">
      <c r="A242" s="4"/>
      <c r="B242" s="4"/>
      <c r="C242" s="4"/>
      <c r="D242" s="4"/>
      <c r="E242" s="4"/>
      <c r="F242" s="4"/>
      <c r="G242" s="4"/>
      <c r="H242" s="4"/>
    </row>
    <row r="243" ht="15.75" customHeight="1">
      <c r="A243" s="4"/>
      <c r="B243" s="4"/>
      <c r="C243" s="4"/>
      <c r="D243" s="4"/>
      <c r="E243" s="4"/>
      <c r="F243" s="4"/>
      <c r="G243" s="4"/>
      <c r="H243" s="4"/>
    </row>
    <row r="244" ht="15.75" customHeight="1">
      <c r="A244" s="4"/>
      <c r="B244" s="4"/>
      <c r="C244" s="4"/>
      <c r="D244" s="4"/>
      <c r="E244" s="4"/>
      <c r="F244" s="4"/>
      <c r="G244" s="4"/>
      <c r="H244" s="4"/>
    </row>
    <row r="245" ht="15.75" customHeight="1">
      <c r="A245" s="4"/>
      <c r="B245" s="4"/>
      <c r="C245" s="4"/>
      <c r="D245" s="4"/>
      <c r="E245" s="4"/>
      <c r="F245" s="4"/>
      <c r="G245" s="4"/>
      <c r="H245" s="4"/>
    </row>
    <row r="246" ht="15.75" customHeight="1">
      <c r="A246" s="4"/>
      <c r="B246" s="4"/>
      <c r="C246" s="4"/>
      <c r="D246" s="4"/>
      <c r="E246" s="4"/>
      <c r="F246" s="4"/>
      <c r="G246" s="4"/>
      <c r="H246" s="4"/>
    </row>
    <row r="247" ht="15.75" customHeight="1">
      <c r="A247" s="4"/>
      <c r="B247" s="4"/>
      <c r="C247" s="4"/>
      <c r="D247" s="4"/>
      <c r="E247" s="4"/>
      <c r="F247" s="4"/>
      <c r="G247" s="4"/>
      <c r="H247" s="4"/>
    </row>
    <row r="248" ht="15.75" customHeight="1">
      <c r="A248" s="4"/>
      <c r="B248" s="4"/>
      <c r="C248" s="4"/>
      <c r="D248" s="4"/>
      <c r="E248" s="4"/>
      <c r="F248" s="4"/>
      <c r="G248" s="4"/>
      <c r="H248" s="4"/>
    </row>
    <row r="249" ht="15.75" customHeight="1">
      <c r="A249" s="4"/>
      <c r="B249" s="4"/>
      <c r="C249" s="4"/>
      <c r="D249" s="4"/>
      <c r="E249" s="4"/>
      <c r="F249" s="4"/>
      <c r="G249" s="4"/>
      <c r="H249" s="4"/>
    </row>
    <row r="250" ht="15.75" customHeight="1">
      <c r="A250" s="4"/>
      <c r="B250" s="4"/>
      <c r="C250" s="4"/>
      <c r="D250" s="4"/>
      <c r="E250" s="4"/>
      <c r="F250" s="4"/>
      <c r="G250" s="4"/>
      <c r="H250" s="4"/>
    </row>
    <row r="251" ht="15.75" customHeight="1">
      <c r="A251" s="4"/>
      <c r="B251" s="4"/>
      <c r="C251" s="4"/>
      <c r="D251" s="4"/>
      <c r="E251" s="4"/>
      <c r="F251" s="4"/>
      <c r="G251" s="4"/>
      <c r="H251" s="4"/>
    </row>
    <row r="252" ht="15.75" customHeight="1">
      <c r="A252" s="4"/>
      <c r="B252" s="4"/>
      <c r="C252" s="4"/>
      <c r="D252" s="4"/>
      <c r="E252" s="4"/>
      <c r="F252" s="4"/>
      <c r="G252" s="4"/>
      <c r="H252" s="4"/>
    </row>
    <row r="253" ht="15.75" customHeight="1">
      <c r="A253" s="4"/>
      <c r="B253" s="4"/>
      <c r="C253" s="4"/>
      <c r="D253" s="4"/>
      <c r="E253" s="4"/>
      <c r="F253" s="4"/>
      <c r="G253" s="4"/>
      <c r="H253" s="4"/>
    </row>
    <row r="254" ht="15.75" customHeight="1">
      <c r="A254" s="4"/>
      <c r="B254" s="4"/>
      <c r="C254" s="4"/>
      <c r="D254" s="4"/>
      <c r="E254" s="4"/>
      <c r="F254" s="4"/>
      <c r="G254" s="4"/>
      <c r="H254" s="4"/>
    </row>
    <row r="255" ht="15.75" customHeight="1">
      <c r="A255" s="4"/>
      <c r="B255" s="4"/>
      <c r="C255" s="4"/>
      <c r="D255" s="4"/>
      <c r="E255" s="4"/>
      <c r="F255" s="4"/>
      <c r="G255" s="4"/>
      <c r="H255" s="4"/>
    </row>
    <row r="256" ht="15.75" customHeight="1">
      <c r="A256" s="4"/>
      <c r="B256" s="4"/>
      <c r="C256" s="4"/>
      <c r="D256" s="4"/>
      <c r="E256" s="4"/>
      <c r="F256" s="4"/>
      <c r="G256" s="4"/>
      <c r="H256" s="4"/>
    </row>
    <row r="257" ht="15.75" customHeight="1">
      <c r="A257" s="4"/>
      <c r="B257" s="4"/>
      <c r="C257" s="4"/>
      <c r="D257" s="4"/>
      <c r="E257" s="4"/>
      <c r="F257" s="4"/>
      <c r="G257" s="4"/>
      <c r="H257" s="4"/>
    </row>
    <row r="258" ht="15.75" customHeight="1">
      <c r="A258" s="4"/>
      <c r="B258" s="4"/>
      <c r="C258" s="4"/>
      <c r="D258" s="4"/>
      <c r="E258" s="4"/>
      <c r="F258" s="4"/>
      <c r="G258" s="4"/>
      <c r="H258" s="4"/>
    </row>
    <row r="259" ht="15.75" customHeight="1">
      <c r="A259" s="4"/>
      <c r="B259" s="4"/>
      <c r="C259" s="4"/>
      <c r="D259" s="4"/>
      <c r="E259" s="4"/>
      <c r="F259" s="4"/>
      <c r="G259" s="4"/>
      <c r="H259" s="4"/>
    </row>
    <row r="260" ht="15.75" customHeight="1">
      <c r="A260" s="4"/>
      <c r="B260" s="4"/>
      <c r="C260" s="4"/>
      <c r="D260" s="4"/>
      <c r="E260" s="4"/>
      <c r="F260" s="4"/>
      <c r="G260" s="4"/>
      <c r="H260" s="4"/>
    </row>
    <row r="261" ht="15.75" customHeight="1">
      <c r="A261" s="4"/>
      <c r="B261" s="4"/>
      <c r="C261" s="4"/>
      <c r="D261" s="4"/>
      <c r="E261" s="4"/>
      <c r="F261" s="4"/>
      <c r="G261" s="4"/>
      <c r="H261" s="4"/>
    </row>
    <row r="262" ht="15.75" customHeight="1">
      <c r="A262" s="4"/>
      <c r="B262" s="4"/>
      <c r="C262" s="4"/>
      <c r="D262" s="4"/>
      <c r="E262" s="4"/>
      <c r="F262" s="4"/>
      <c r="G262" s="4"/>
      <c r="H262" s="4"/>
    </row>
    <row r="263" ht="15.75" customHeight="1">
      <c r="A263" s="4"/>
      <c r="B263" s="4"/>
      <c r="C263" s="4"/>
      <c r="D263" s="4"/>
      <c r="E263" s="4"/>
      <c r="F263" s="4"/>
      <c r="G263" s="4"/>
      <c r="H263" s="4"/>
    </row>
    <row r="264" ht="15.75" customHeight="1">
      <c r="A264" s="4"/>
      <c r="B264" s="4"/>
      <c r="C264" s="4"/>
      <c r="D264" s="4"/>
      <c r="E264" s="4"/>
      <c r="F264" s="4"/>
      <c r="G264" s="4"/>
      <c r="H264" s="4"/>
    </row>
    <row r="265" ht="15.75" customHeight="1">
      <c r="A265" s="4"/>
      <c r="B265" s="4"/>
      <c r="C265" s="4"/>
      <c r="D265" s="4"/>
      <c r="E265" s="4"/>
      <c r="F265" s="4"/>
      <c r="G265" s="4"/>
      <c r="H265" s="4"/>
    </row>
    <row r="266" ht="15.75" customHeight="1">
      <c r="A266" s="4"/>
      <c r="B266" s="4"/>
      <c r="C266" s="4"/>
      <c r="D266" s="4"/>
      <c r="E266" s="4"/>
      <c r="F266" s="4"/>
      <c r="G266" s="4"/>
      <c r="H266" s="4"/>
    </row>
    <row r="267" ht="15.75" customHeight="1">
      <c r="A267" s="4"/>
      <c r="B267" s="4"/>
      <c r="C267" s="4"/>
      <c r="D267" s="4"/>
      <c r="E267" s="4"/>
      <c r="F267" s="4"/>
      <c r="G267" s="4"/>
      <c r="H267" s="4"/>
    </row>
    <row r="268" ht="15.75" customHeight="1">
      <c r="A268" s="4"/>
      <c r="B268" s="4"/>
      <c r="C268" s="4"/>
      <c r="D268" s="4"/>
      <c r="E268" s="4"/>
      <c r="F268" s="4"/>
      <c r="G268" s="4"/>
      <c r="H268" s="4"/>
    </row>
    <row r="269" ht="15.75" customHeight="1">
      <c r="A269" s="4"/>
      <c r="B269" s="4"/>
      <c r="C269" s="4"/>
      <c r="D269" s="4"/>
      <c r="E269" s="4"/>
      <c r="F269" s="4"/>
      <c r="G269" s="4"/>
      <c r="H269" s="4"/>
    </row>
    <row r="270" ht="15.75" customHeight="1">
      <c r="A270" s="4"/>
      <c r="B270" s="4"/>
      <c r="C270" s="4"/>
      <c r="D270" s="4"/>
      <c r="E270" s="4"/>
      <c r="F270" s="4"/>
      <c r="G270" s="4"/>
      <c r="H270" s="4"/>
    </row>
    <row r="271" ht="15.75" customHeight="1">
      <c r="A271" s="4"/>
      <c r="B271" s="4"/>
      <c r="C271" s="4"/>
      <c r="D271" s="4"/>
      <c r="E271" s="4"/>
      <c r="F271" s="4"/>
      <c r="G271" s="4"/>
      <c r="H271" s="4"/>
    </row>
    <row r="272" ht="15.75" customHeight="1">
      <c r="A272" s="4"/>
      <c r="B272" s="4"/>
      <c r="C272" s="4"/>
      <c r="D272" s="4"/>
      <c r="E272" s="4"/>
      <c r="F272" s="4"/>
      <c r="G272" s="4"/>
      <c r="H272" s="4"/>
    </row>
    <row r="273" ht="15.75" customHeight="1">
      <c r="A273" s="4"/>
      <c r="B273" s="4"/>
      <c r="C273" s="4"/>
      <c r="D273" s="4"/>
      <c r="E273" s="4"/>
      <c r="F273" s="4"/>
      <c r="G273" s="4"/>
      <c r="H273" s="4"/>
    </row>
    <row r="274" ht="15.75" customHeight="1">
      <c r="A274" s="4"/>
      <c r="B274" s="4"/>
      <c r="C274" s="4"/>
      <c r="D274" s="4"/>
      <c r="E274" s="4"/>
      <c r="F274" s="4"/>
      <c r="G274" s="4"/>
      <c r="H274" s="4"/>
    </row>
    <row r="275" ht="15.75" customHeight="1">
      <c r="A275" s="4"/>
      <c r="B275" s="4"/>
      <c r="C275" s="4"/>
      <c r="D275" s="4"/>
      <c r="E275" s="4"/>
      <c r="F275" s="4"/>
      <c r="G275" s="4"/>
      <c r="H275" s="4"/>
    </row>
    <row r="276" ht="15.75" customHeight="1">
      <c r="A276" s="4"/>
      <c r="B276" s="4"/>
      <c r="C276" s="4"/>
      <c r="D276" s="4"/>
      <c r="E276" s="4"/>
      <c r="F276" s="4"/>
      <c r="G276" s="4"/>
      <c r="H276" s="4"/>
    </row>
    <row r="277" ht="15.75" customHeight="1">
      <c r="A277" s="4"/>
      <c r="B277" s="4"/>
      <c r="C277" s="4"/>
      <c r="D277" s="4"/>
      <c r="E277" s="4"/>
      <c r="F277" s="4"/>
      <c r="G277" s="4"/>
      <c r="H277" s="4"/>
    </row>
    <row r="278" ht="15.75" customHeight="1">
      <c r="A278" s="4"/>
      <c r="B278" s="4"/>
      <c r="C278" s="4"/>
      <c r="D278" s="4"/>
      <c r="E278" s="4"/>
      <c r="F278" s="4"/>
      <c r="G278" s="4"/>
      <c r="H278" s="4"/>
    </row>
    <row r="279" ht="15.75" customHeight="1">
      <c r="A279" s="4"/>
      <c r="B279" s="4"/>
      <c r="C279" s="4"/>
      <c r="D279" s="4"/>
      <c r="E279" s="4"/>
      <c r="F279" s="4"/>
      <c r="G279" s="4"/>
      <c r="H279" s="4"/>
    </row>
    <row r="280" ht="15.75" customHeight="1">
      <c r="A280" s="4"/>
      <c r="B280" s="4"/>
      <c r="C280" s="4"/>
      <c r="D280" s="4"/>
      <c r="E280" s="4"/>
      <c r="F280" s="4"/>
      <c r="G280" s="4"/>
      <c r="H280" s="4"/>
    </row>
    <row r="281" ht="15.75" customHeight="1">
      <c r="A281" s="4"/>
      <c r="B281" s="4"/>
      <c r="C281" s="4"/>
      <c r="D281" s="4"/>
      <c r="E281" s="4"/>
      <c r="F281" s="4"/>
      <c r="G281" s="4"/>
      <c r="H281" s="4"/>
    </row>
    <row r="282" ht="15.75" customHeight="1">
      <c r="A282" s="4"/>
      <c r="B282" s="4"/>
      <c r="C282" s="4"/>
      <c r="D282" s="4"/>
      <c r="E282" s="4"/>
      <c r="F282" s="4"/>
      <c r="G282" s="4"/>
      <c r="H282" s="4"/>
    </row>
    <row r="283" ht="15.75" customHeight="1">
      <c r="A283" s="4"/>
      <c r="B283" s="4"/>
      <c r="C283" s="4"/>
      <c r="D283" s="4"/>
      <c r="E283" s="4"/>
      <c r="F283" s="4"/>
      <c r="G283" s="4"/>
      <c r="H283" s="4"/>
    </row>
    <row r="284" ht="15.75" customHeight="1">
      <c r="A284" s="4"/>
      <c r="B284" s="4"/>
      <c r="C284" s="4"/>
      <c r="D284" s="4"/>
      <c r="E284" s="4"/>
      <c r="F284" s="4"/>
      <c r="G284" s="4"/>
      <c r="H284" s="4"/>
    </row>
    <row r="285" ht="15.75" customHeight="1">
      <c r="A285" s="4"/>
      <c r="B285" s="4"/>
      <c r="C285" s="4"/>
      <c r="D285" s="4"/>
      <c r="E285" s="4"/>
      <c r="F285" s="4"/>
      <c r="G285" s="4"/>
      <c r="H285" s="4"/>
    </row>
    <row r="286" ht="15.75" customHeight="1">
      <c r="A286" s="4"/>
      <c r="B286" s="4"/>
      <c r="C286" s="4"/>
      <c r="D286" s="4"/>
      <c r="E286" s="4"/>
      <c r="F286" s="4"/>
      <c r="G286" s="4"/>
      <c r="H286" s="4"/>
    </row>
    <row r="287" ht="15.75" customHeight="1">
      <c r="A287" s="4"/>
      <c r="B287" s="4"/>
      <c r="C287" s="4"/>
      <c r="D287" s="4"/>
      <c r="E287" s="4"/>
      <c r="F287" s="4"/>
      <c r="G287" s="4"/>
      <c r="H287" s="4"/>
    </row>
    <row r="288" ht="15.75" customHeight="1">
      <c r="A288" s="4"/>
      <c r="B288" s="4"/>
      <c r="C288" s="4"/>
      <c r="D288" s="4"/>
      <c r="E288" s="4"/>
      <c r="F288" s="4"/>
      <c r="G288" s="4"/>
      <c r="H288" s="4"/>
    </row>
    <row r="289" ht="15.75" customHeight="1">
      <c r="A289" s="4"/>
      <c r="B289" s="4"/>
      <c r="C289" s="4"/>
      <c r="D289" s="4"/>
      <c r="E289" s="4"/>
      <c r="F289" s="4"/>
      <c r="G289" s="4"/>
      <c r="H289" s="4"/>
    </row>
    <row r="290" ht="15.75" customHeight="1">
      <c r="A290" s="4"/>
      <c r="B290" s="4"/>
      <c r="C290" s="4"/>
      <c r="D290" s="4"/>
      <c r="E290" s="4"/>
      <c r="F290" s="4"/>
      <c r="G290" s="4"/>
      <c r="H290" s="4"/>
    </row>
    <row r="291" ht="15.75" customHeight="1">
      <c r="A291" s="4"/>
      <c r="B291" s="4"/>
      <c r="C291" s="4"/>
      <c r="D291" s="4"/>
      <c r="E291" s="4"/>
      <c r="F291" s="4"/>
      <c r="G291" s="4"/>
      <c r="H291" s="4"/>
    </row>
    <row r="292" ht="15.75" customHeight="1">
      <c r="A292" s="4"/>
      <c r="B292" s="4"/>
      <c r="C292" s="4"/>
      <c r="D292" s="4"/>
      <c r="E292" s="4"/>
      <c r="F292" s="4"/>
      <c r="G292" s="4"/>
      <c r="H292" s="4"/>
    </row>
    <row r="293" ht="15.75" customHeight="1">
      <c r="A293" s="4"/>
      <c r="B293" s="4"/>
      <c r="C293" s="4"/>
      <c r="D293" s="4"/>
      <c r="E293" s="4"/>
      <c r="F293" s="4"/>
      <c r="G293" s="4"/>
      <c r="H293" s="4"/>
    </row>
    <row r="294" ht="15.75" customHeight="1">
      <c r="A294" s="4"/>
      <c r="B294" s="4"/>
      <c r="C294" s="4"/>
      <c r="D294" s="4"/>
      <c r="E294" s="4"/>
      <c r="F294" s="4"/>
      <c r="G294" s="4"/>
      <c r="H294" s="4"/>
    </row>
    <row r="295" ht="15.75" customHeight="1">
      <c r="A295" s="4"/>
      <c r="B295" s="4"/>
      <c r="C295" s="4"/>
      <c r="D295" s="4"/>
      <c r="E295" s="4"/>
      <c r="F295" s="4"/>
      <c r="G295" s="4"/>
      <c r="H295" s="4"/>
    </row>
    <row r="296" ht="15.75" customHeight="1">
      <c r="A296" s="4"/>
      <c r="B296" s="4"/>
      <c r="C296" s="4"/>
      <c r="D296" s="4"/>
      <c r="E296" s="4"/>
      <c r="F296" s="4"/>
      <c r="G296" s="4"/>
      <c r="H296" s="4"/>
    </row>
    <row r="297" ht="15.75" customHeight="1">
      <c r="A297" s="4"/>
      <c r="B297" s="4"/>
      <c r="C297" s="4"/>
      <c r="D297" s="4"/>
      <c r="E297" s="4"/>
      <c r="F297" s="4"/>
      <c r="G297" s="4"/>
      <c r="H297" s="4"/>
    </row>
    <row r="298" ht="15.75" customHeight="1">
      <c r="A298" s="4"/>
      <c r="B298" s="4"/>
      <c r="C298" s="4"/>
      <c r="D298" s="4"/>
      <c r="E298" s="4"/>
      <c r="F298" s="4"/>
      <c r="G298" s="4"/>
      <c r="H298" s="4"/>
    </row>
    <row r="299" ht="15.75" customHeight="1">
      <c r="A299" s="4"/>
      <c r="B299" s="4"/>
      <c r="C299" s="4"/>
      <c r="D299" s="4"/>
      <c r="E299" s="4"/>
      <c r="F299" s="4"/>
      <c r="G299" s="4"/>
      <c r="H299" s="4"/>
    </row>
    <row r="300" ht="15.75" customHeight="1">
      <c r="A300" s="4"/>
      <c r="B300" s="4"/>
      <c r="C300" s="4"/>
      <c r="D300" s="4"/>
      <c r="E300" s="4"/>
      <c r="F300" s="4"/>
      <c r="G300" s="4"/>
      <c r="H300" s="4"/>
    </row>
    <row r="301" ht="15.75" customHeight="1">
      <c r="A301" s="4"/>
      <c r="B301" s="4"/>
      <c r="C301" s="4"/>
      <c r="D301" s="4"/>
      <c r="E301" s="4"/>
      <c r="F301" s="4"/>
      <c r="G301" s="4"/>
      <c r="H301" s="4"/>
    </row>
    <row r="302" ht="15.75" customHeight="1">
      <c r="A302" s="4"/>
      <c r="B302" s="4"/>
      <c r="C302" s="4"/>
      <c r="D302" s="4"/>
      <c r="E302" s="4"/>
      <c r="F302" s="4"/>
      <c r="G302" s="4"/>
      <c r="H302" s="4"/>
    </row>
    <row r="303" ht="15.75" customHeight="1">
      <c r="A303" s="4"/>
      <c r="B303" s="4"/>
      <c r="C303" s="4"/>
      <c r="D303" s="4"/>
      <c r="E303" s="4"/>
      <c r="F303" s="4"/>
      <c r="G303" s="4"/>
      <c r="H303" s="4"/>
    </row>
    <row r="304" ht="15.75" customHeight="1">
      <c r="A304" s="4"/>
      <c r="B304" s="4"/>
      <c r="C304" s="4"/>
      <c r="D304" s="4"/>
      <c r="E304" s="4"/>
      <c r="F304" s="4"/>
      <c r="G304" s="4"/>
      <c r="H304" s="4"/>
    </row>
    <row r="305" ht="15.75" customHeight="1">
      <c r="A305" s="4"/>
      <c r="B305" s="4"/>
      <c r="C305" s="4"/>
      <c r="D305" s="4"/>
      <c r="E305" s="4"/>
      <c r="F305" s="4"/>
      <c r="G305" s="4"/>
      <c r="H305" s="4"/>
    </row>
    <row r="306" ht="15.75" customHeight="1">
      <c r="A306" s="4"/>
      <c r="B306" s="4"/>
      <c r="C306" s="4"/>
      <c r="D306" s="4"/>
      <c r="E306" s="4"/>
      <c r="F306" s="4"/>
      <c r="G306" s="4"/>
      <c r="H306" s="4"/>
    </row>
    <row r="307" ht="15.75" customHeight="1">
      <c r="A307" s="4"/>
      <c r="B307" s="4"/>
      <c r="C307" s="4"/>
      <c r="D307" s="4"/>
      <c r="E307" s="4"/>
      <c r="F307" s="4"/>
      <c r="G307" s="4"/>
      <c r="H307" s="4"/>
    </row>
    <row r="308" ht="15.75" customHeight="1">
      <c r="A308" s="4"/>
      <c r="B308" s="4"/>
      <c r="C308" s="4"/>
      <c r="D308" s="4"/>
      <c r="E308" s="4"/>
      <c r="F308" s="4"/>
      <c r="G308" s="4"/>
      <c r="H308" s="4"/>
    </row>
    <row r="309" ht="15.75" customHeight="1">
      <c r="A309" s="4"/>
      <c r="B309" s="4"/>
      <c r="C309" s="4"/>
      <c r="D309" s="4"/>
      <c r="E309" s="4"/>
      <c r="F309" s="4"/>
      <c r="G309" s="4"/>
      <c r="H309" s="4"/>
    </row>
    <row r="310" ht="15.75" customHeight="1">
      <c r="A310" s="4"/>
      <c r="B310" s="4"/>
      <c r="C310" s="4"/>
      <c r="D310" s="4"/>
      <c r="E310" s="4"/>
      <c r="F310" s="4"/>
      <c r="G310" s="4"/>
      <c r="H310" s="4"/>
    </row>
    <row r="311" ht="15.75" customHeight="1">
      <c r="A311" s="4"/>
      <c r="B311" s="4"/>
      <c r="C311" s="4"/>
      <c r="D311" s="4"/>
      <c r="E311" s="4"/>
      <c r="F311" s="4"/>
      <c r="G311" s="4"/>
      <c r="H311" s="4"/>
    </row>
    <row r="312" ht="15.75" customHeight="1">
      <c r="A312" s="4"/>
      <c r="B312" s="4"/>
      <c r="C312" s="4"/>
      <c r="D312" s="4"/>
      <c r="E312" s="4"/>
      <c r="F312" s="4"/>
      <c r="G312" s="4"/>
      <c r="H312" s="4"/>
    </row>
    <row r="313" ht="15.75" customHeight="1">
      <c r="A313" s="4"/>
      <c r="B313" s="4"/>
      <c r="C313" s="4"/>
      <c r="D313" s="4"/>
      <c r="E313" s="4"/>
      <c r="F313" s="4"/>
      <c r="G313" s="4"/>
      <c r="H313" s="4"/>
    </row>
    <row r="314" ht="15.75" customHeight="1">
      <c r="A314" s="4"/>
      <c r="B314" s="4"/>
      <c r="C314" s="4"/>
      <c r="D314" s="4"/>
      <c r="E314" s="4"/>
      <c r="F314" s="4"/>
      <c r="G314" s="4"/>
      <c r="H314" s="4"/>
    </row>
    <row r="315" ht="15.75"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autoFilter ref="$A$4:$H$17"/>
  <mergeCells count="6">
    <mergeCell ref="A1:G1"/>
    <mergeCell ref="A2:G2"/>
    <mergeCell ref="B20:H20"/>
    <mergeCell ref="B21:H21"/>
    <mergeCell ref="B22:H22"/>
    <mergeCell ref="B23:H23"/>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2026-09-08T03:12:24Z</dcterms:created>
  <dc:creator>openpyxl</dc:creator>
</cp:coreProperties>
</file>

<file path=docProps/custom.xml><?xml version="1.0" encoding="utf-8"?>
<Properties xmlns="http://schemas.openxmlformats.org/officeDocument/2006/custom-properties" xmlns:vt="http://schemas.openxmlformats.org/officeDocument/2006/docPropsVTypes"/>
</file>