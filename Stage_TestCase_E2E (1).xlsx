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Credentials &amp; Test Data" sheetId="2" r:id="rId6"/>
    <sheet state="visible" name="Dashboard &amp; Environment URLs" sheetId="3" r:id="rId7"/>
    <sheet state="visible" name="Coverage Assessment" sheetId="4" r:id="rId8"/>
    <sheet state="visible" name="Dashboard" sheetId="5" r:id="rId9"/>
    <sheet state="visible" name="Admin" sheetId="6" r:id="rId10"/>
    <sheet state="visible" name="Teacher" sheetId="7" r:id="rId11"/>
    <sheet state="visible" name="Student" sheetId="8" r:id="rId12"/>
    <sheet state="visible" name="Mobile" sheetId="9" r:id="rId13"/>
  </sheets>
  <definedNames>
    <definedName hidden="1" localSheetId="7" name="_xlnm._FilterDatabase">Student!$A$1:$N$75</definedName>
  </definedNames>
  <calcPr/>
</workbook>
</file>

<file path=xl/sharedStrings.xml><?xml version="1.0" encoding="utf-8"?>
<sst xmlns="http://schemas.openxmlformats.org/spreadsheetml/2006/main" count="2588" uniqueCount="1241">
  <si>
    <t>Is this test suite's coverage full?</t>
  </si>
  <si>
    <t>Quick Reference - Start Here</t>
  </si>
  <si>
    <t>E2 Language — E2E Test Case Suite (Admin / Teacher / Student / Mobile)</t>
  </si>
  <si>
    <t>What</t>
  </si>
  <si>
    <t>URL / Host</t>
  </si>
  <si>
    <t>Notes</t>
  </si>
  <si>
    <t>Short answer: NO — this is the fullest coverage buildable from verified sources, not full application coverage. Every gap below is a real, named area, not a vague caveat.</t>
  </si>
  <si>
    <t>Admin + Teacher app (staging host, confirmed live)</t>
  </si>
  <si>
    <t>https://azdopl-rc-adminapp.e2language.com</t>
  </si>
  <si>
    <t>Shared Azure AD B2C-authenticated host. Landing page after login depends on the account's role scope.</t>
  </si>
  <si>
    <t>Shared login entry point (confirmed live)</t>
  </si>
  <si>
    <t>https://azdopl-rc-adminapp.e2language.com/Account/Login</t>
  </si>
  <si>
    <t>Redirects into Azure AD B2C. Confirmed: switching roles in the same browser session without first using Logout re-lands on the ORIGINAL role's page rather than prompting fresh credentials (SSO-scope behavior, reproduced live this session).</t>
  </si>
  <si>
    <t>Shared logout (confirmed live)</t>
  </si>
  <si>
    <t>https://azdopl-rc-adminapp.e2language.com/Account/SingleLogout</t>
  </si>
  <si>
    <t>Ends the Azure AD B2C session for whichever role was authenticated.</t>
  </si>
  <si>
    <t>Teacher dashboard (confirmed live)</t>
  </si>
  <si>
    <t>https://azdopl-rc-adminapp.e2language.com/Teacher/Home</t>
  </si>
  <si>
    <t>Verified by direct navigation this session while authenticated as nacedos274@slotbeer.com.</t>
  </si>
  <si>
    <t>WELL COVERED (verified live or via wiki/project docs, multiple cases each)</t>
  </si>
  <si>
    <t>How to use this sheet: this table gives you one confirmed-working login per role so you can start testing immediately. The full sections below (Test Accounts, Payment/Voucher/Partner/Taxonomy data, Student Test Accounts by package tier, Vouchers created during the live pass) have every other credential and test value referenced anywhere in the Admin, Teacher, Student, and Mobile test-case tabs.</t>
  </si>
  <si>
    <t>Admin dashboard exact route — CONFIRMED LIVE this session</t>
  </si>
  <si>
    <t>https://azdopl-rc-adminapp.e2language.com/Administrator/Home</t>
  </si>
  <si>
    <t>Corrects the earlier-assumed /Admin/Home (confirmed 404 - Home/PageNotFound). Verified live by logging in as apadmin@mailinator.com (Super Administrator). PRODUCT FINDING: the dashboard's main content area currently renders only the literal placeholder text 'Admin dashboard goes here!' - no charts/metrics/widgets exist yet; see TC-ADM-005.</t>
  </si>
  <si>
    <t>Admin left-nav structure — CONFIRMED LIVE this session</t>
  </si>
  <si>
    <t>Login/Logout, all 3 roles + Mobile</t>
  </si>
  <si>
    <t>18 top-level items in this order: Dashboard, People, Partners, Live Class, Video Collections, Scheduler, Analysis, AI Result, Currency Rate, Marketing Tools, Campus, Announcements, Study Pathway Rules, Utility, Banner, Group Class, Invoice, Embedded Pricing.</t>
  </si>
  <si>
    <t>Positive, negative, logout, and SSO session-scope behavior - the scope-mismatch behavior was reproduced live this session.</t>
  </si>
  <si>
    <t>Corrects the earlier-assumed 5-section nav (People/Partners/Marketing Tools/Analysis/Utility only) and the earlier assumption that AI Result nests under Analysis - it is its own top-level item. Sub-items confirmed so far: People expands to Student (itself expanding to Grid/Search/Create New/CELPIP Migration), Teacher, and Administrators. All other top-level items still PLACEHOLDER for sub-structure.</t>
  </si>
  <si>
    <t>Prepared as a Senior QA Engineer deliverable. September 2026. v4.</t>
  </si>
  <si>
    <t>Role</t>
  </si>
  <si>
    <t>Registration &amp; Payment</t>
  </si>
  <si>
    <t>Admin nav is a client-side SPA — CONFIRMED LIVE this session</t>
  </si>
  <si>
    <t>N/A</t>
  </si>
  <si>
    <t>Username / Value</t>
  </si>
  <si>
    <t>Canonical deep link, 9 documented entry points (5 now covered as cases: Express Checkout success/blocked, Org Voucher, Referral, Partnership site; 4 not yet cased: website pricing table, embedded promo URL, WooCommerce GRE, WooCommerce E2 English post-reg question flow — see gaps below), all 3 payment outcomes (approved/declined/gateway-failure), PayPal button presence.</t>
  </si>
  <si>
    <t>All left-nav links render as href="#" and clicking them re-renders the main panel without changing the browser URL (it stays at /Administrator/Home#). There is NO distinct URL per Admin sub-page to capture - 'exact URL' for any Admin sub-screen should be read as 'reached via in-app navigation' rather than a literal deep-linkable path, unless stated otherwise.</t>
  </si>
  <si>
    <t>Password</t>
  </si>
  <si>
    <t>Admin (Super Administrator) - confirmed live</t>
  </si>
  <si>
    <t>Azure AD B2C technical detail — CONFIRMED LIVE this session</t>
  </si>
  <si>
    <t>Upgrade / Package Upgrade / Switch Course / Extend Package / Special Vouchers / Add-on Purchase</t>
  </si>
  <si>
    <t>Scope: 167 test cases across 4 tabs - Admin (44), Teacher (33), Student (74), Mobile (16). See the Coverage Assessment tab for an honest answer to 'is this full coverage' - short version: NO, not full - it is the fullest coverage achievable from verified sources, with every remaining gap listed explicitly rather than silently omitted.</t>
  </si>
  <si>
    <t>Tenant e2testprepdev2.onmicrosoft.com; custom policy b2c_1a_signup_signin; authorize endpoint https://auth-rcv2.e2language.com/e2testprepdev2.onmicrosoft.com/b2c_1a_signup_signin/oauth2/v2.0/authorize; client_id 5c544de9-ead8-41c9-a98c-70701196fbfc; redirect_uri https://azdopl-rc-adminapp.e2language.com</t>
  </si>
  <si>
    <t>The full Transaction Area from the wiki - F2P/P2P pricing, all 10 pairings of the allow/disallow matrix, all 3 Switch Course variants, all Extend Package entry points including the confirmed 'My Account = secretly Upgrade' gotcha, all 4 Special Vouchers, and the full Add-on catalog including both action-gated add-ons.</t>
  </si>
  <si>
    <t>Captured from the live OAuth redirect during login. The single sign-in flow requests three scopes together (.../admin:all, .../superadmin:all, .../teacher:all), confirming Admin, Super Admin, and Teacher share one app registration; the landing page is decided by the authenticated account's actual role assignment, not by which scope was requested.</t>
  </si>
  <si>
    <t>Teacher grading workflow</t>
  </si>
  <si>
    <t>Password reset entry point — CONFIRMED LIVE this session</t>
  </si>
  <si>
    <t>Both Writing and Speaking templates, all 5 action buttons as individual cases, the confirmed Mock Test Assessment dashboard/list mismatch defect, the read-only Student Detail view broken into its 4 individual actions.</t>
  </si>
  <si>
    <t>Admin login + Admin People/Student/Teacher setup</t>
  </si>
  <si>
    <t>'Did you forget your password? Click here' link on the shared login page</t>
  </si>
  <si>
    <t>apadmin@mailinator.com</t>
  </si>
  <si>
    <t>RzyE3Bti2ZHGqJjU</t>
  </si>
  <si>
    <t>The real branded login page (styled 'E2 Test Prep', tagline 'Where will you take you?') has Email Address, Password, this reset link, a 'Keep me signed in' checkbox, and a Login button. Resolves the previously-PLACEHOLDER exact link text referenced in the Account &amp; Security test cases (TC-ADM-028, TC-TCH-029, TC-STU equivalents) - the destination screen beyond this link is still not captured live.</t>
  </si>
  <si>
    <t>v3 additions (this pass): Status column (Not Executed / Passed / Failed / Blocked, dropdown, defaults to Not Executed since nothing has been run yet), Execution Type column (Automation / Manual - my classification per case: Manual is reserved for real Google/Facebook/social-OAuth logins and the Spotify podcast embed, matching the same standard already used in E2_Language_Regression_Test_Cases_v2.xlsx; everything else is Automation, including cases that still need environment setup first), a Dashboard tab with charts, a Coverage Assessment tab, Account &amp; Security flows (Forgot/Reset Password, Change Password, Profile Settings) for all 3 roles, Content Tool SSO/ROPC login cases restored for Student (desktop + mobile), 14 other student learning modules restored (AI Practice Activity, Live Class join, Recorded Class, Podcast, Score Calculator, Study Pathway, Sample Practice Activity, Video Tooltips, Cross-Platform/WooCommerce integration), and a new Mobile tab (16 cases) mirroring the Student tab's core flows plus the mobile-specific Content Tool cases from the original suite.</t>
  </si>
  <si>
    <t>CONFIRMED LIVE this session with a working Super Administrator credential (apadmin@mailinator.com) - real dashboard route (/Administrator/Home), the full 18-item top-level nav, the People &gt; Student &gt; Search/Grid/Create New/CELPIP Migration structure, the People &gt; Teacher list, the People &gt; Administrators list, and all 11 Student Detail actions (View Package Detail incl. nested Add Package, View Additional Package Detail, View Login History, View Registration History, Share and Earn, View Notes, View Survey, Student Consultation, Reset Password, Delete Student). Partners/Marketing Tools/Analysis/Utility remain as previously documented - Add Package flow, both known-defect grids (AI Result, Abandon Cart), the confirmed GST-by-IP-geolocation mechanism, feature flags, email domain blocklist, partner org codes, deep-link generators.</t>
  </si>
  <si>
    <t>Lands on /Administrator/Home with role badge 'SUPER ADMINISTRATOR'.</t>
  </si>
  <si>
    <t>Teacher - confirmed live</t>
  </si>
  <si>
    <t>nacedos274@slotbeer.com</t>
  </si>
  <si>
    <t>Student app (staging host, confirmed in e2-admin-panel-findings.md)</t>
  </si>
  <si>
    <t>Temp@1234</t>
  </si>
  <si>
    <t>https://azdopl-rc-main.e2language.com</t>
  </si>
  <si>
    <t>Display name 'Bob Teacher', Master Tutor level. Lands on /Teacher/Home.</t>
  </si>
  <si>
    <t>Content Tool SSO/ROPC login</t>
  </si>
  <si>
    <t>Student (Gold tier) - confirmed live, recommended default</t>
  </si>
  <si>
    <t>Same shared Azure AD B2C tenant - confirmed live this session: hitting this host while Teacher-authenticated redirects back into the Teacher session rather than a fresh Student login, consistent with the SSO-scope behavior above.</t>
  </si>
  <si>
    <t>e2e.stu.gold.260908@mailinator.com</t>
  </si>
  <si>
    <t>TestPass123!</t>
  </si>
  <si>
    <t>Account ID E2L-26090822212. Use this account for any Student-side smoke test that just needs a working paid login. For a specific package tier (Free/Express/Bronze/Power/etc.), see 'Student Test Accounts' below.</t>
  </si>
  <si>
    <t>Covered on Mobile only (TC-MOB-004), including the ROPC exam-type scope constraint (CELPIP/GRE/SAT only). CORRECTED in v4: an earlier version of this sheet claimed this was 'restored ... for both desktop and mobile', but the Student (desktop) tab has no actual test case for it - only one incidental mention inside TC-STU-004's Expected Result text. Treat Content Tool SSO/ROPC on desktop as NOT COVERED until a real case is added (see the NOT COVERED section).</t>
  </si>
  <si>
    <t>Student dashboard exact route - CONFIRMED LIVE this pass</t>
  </si>
  <si>
    <t>Cross-role E2E chain</t>
  </si>
  <si>
    <t>Everything below this line is the full detail these 3 accounts are drawn from, plus every other credential and test value used across this workbook.</t>
  </si>
  <si>
    <t>v4 additions (this pass - QA-readability pass on the Student tab): added a Test Case Title column (col B) to the Student tab so every case has a plain-English one-line summary, readable without opening Steps/Expected Result; added 2 new cases for Google and Facebook Social Login on desktop (TC-STU-073/074), a real gap - the Mobile tab already covered this (TC-MOB-002/003) and it was confirmed live on the Student desktop login page, but the Student tab itself had no case for it; corrected TC-STU-004's Status from Passed to Not Executed (its own Expected Result already said the behavior was never independently reproduced - marking it Passed was a self-contradiction); corrected TC-STU-001's Test Data to point to a confirmed-working account instead of one with a placeholder password; fixed a contradiction in the Credentials &amp; Test Data sheet where a password value was shown for an account whose own note said no password was ever captured; reorganized the Credentials &amp; Test Data sheet with a Quick Reference block and clearer section labels; corrected the Coverage Assessment tab's claim that Content Tool SSO/ROPC login was 'restored... for both desktop and mobile' - it is covered on Mobile only (TC-MOB-004), not on the Student (desktop) tab; and flagged (not renumbered, to avoid breaking existing cross-references elsewhere in this workbook) that TC-E2E-053 and TC-E2E-054 use a different ID prefix than the surrounding TC-STU-### sequence on the Student tab - they are correct, real cross-role cases, just worth knowing about if you are scanning the tab by ID.</t>
  </si>
  <si>
    <t>https://azdopl-rc-main.e2language.com/Student/Home</t>
  </si>
  <si>
    <t>A full 6-leg Admin -&gt; Teacher -&gt; Student -&gt; Teacher -&gt; Student -&gt; Admin sequence with explicit hand-offs.</t>
  </si>
  <si>
    <t>Test Accounts</t>
  </si>
  <si>
    <t>Other student learning modules</t>
  </si>
  <si>
    <t>AI Practice Activity, Live Class join, Recorded Class, Podcast, Score Calculator, Study Pathway, Sample Practice Activity, Video Tooltips, WooCommerce cross-platform purchase - one representative case per module, citing the original suite's verified case IDs.</t>
  </si>
  <si>
    <t>Account</t>
  </si>
  <si>
    <t>Confirmed by direct login as a Student-scoped account during the 2026-09-08 execution pass (previously PLACEHOLDER).</t>
  </si>
  <si>
    <t>PARTIALLY COVERED</t>
  </si>
  <si>
    <t>Teacher (confirmed, used live this session)</t>
  </si>
  <si>
    <t>Mobile</t>
  </si>
  <si>
    <t>SOURCE OF TRUTH: every fact traces to (1) live browser verification performed for this deliverable, (2) the e2-admin-panel-findings.md / e2-teacher-panel-findings.md project docs, (3) the e2-engineering-wiki-findings.md project doc, or (4) the original 223-case TestPlanIt export / the delivered E2_Language_Regression_Test_Cases_v2.xlsx (269 cases) — cited by ID where reused. Nothing is invented; unconfirmed values are PLACEHOLDER/N/A with a note on how to resolve them.</t>
  </si>
  <si>
    <t>Display name 'Bob Teacher', Master Tutor level. Verified live: authenticates at the shared Azure AD B2C login and lands on https://azdopl-rc-adminapp.e2language.com/Teacher/Home.</t>
  </si>
  <si>
    <t>Confirmed Activity deep-link pattern (Admin &gt; Marketing Tools &gt; Activity URL)</t>
  </si>
  <si>
    <t>16 cases added covering login (incl. all Content Tool variants), navigation, onboarding, and one representative case each for Registration/Upgrade/Add-on/Package Upgrade/Live Class. This is NOT a full mobile mirror of the 54-case Student tab. In particular, Live Class alone has 28 cases in the original Mobile Environment sheet (its largest module by far, presumably covering per-package-tier registration/unregistration/join variants) - only 1 representative case is included here. If mobile is a real release-blocking surface, this needs its own dedicated deeper pass.</t>
  </si>
  <si>
    <t>Admin (Super Administrator) — CONFIRMED LIVE this session</t>
  </si>
  <si>
    <t>https://azdopl-rc-main.e2language.com/Student/MockTestTwoColumnWritingSummarize/StartPage?activityId=&lt;id&gt;</t>
  </si>
  <si>
    <t>&lt;id&gt; is instance-specific - capture the real value from the 'View Url' action at execution time.</t>
  </si>
  <si>
    <t>User-supplied working credential for the staging environment, verified live: authenticates at the shared Azure AD B2C login and lands on https://azdopl-rc-adminapp.e2language.com/Administrator/Home. Header shows role badge 'SUPER ADMINISTRATOR' and username 'apadmin'. This closes the single biggest gap previously blocking the Admin tab.</t>
  </si>
  <si>
    <t>Registration entry points</t>
  </si>
  <si>
    <t>Student (reference account, seen from Teacher-side only)</t>
  </si>
  <si>
    <t>Canonical Paid Registration deep link (wiki-confirmed)</t>
  </si>
  <si>
    <t>kadaj29422@prorises.com</t>
  </si>
  <si>
    <t>https://azdopl-rc-registrationapp.e2language.com/Registration/SignUp?examTypeCode=PTE</t>
  </si>
  <si>
    <t>5 of the wiki's documented 9 entry points now have cases. Not yet cased: the plain website pricing table, the embedded promo URL, WooCommerce GRE registration (with its post-registration questions), and WooCommerce E2 English registration (which the wiki flags as asymmetric - it skips those questions, unconfirmed-intentional).</t>
  </si>
  <si>
    <t>UNCONFIRMED - do not use</t>
  </si>
  <si>
    <t>SHEETS: Credentials &amp; Test Data — starts with a Quick Reference block (one confirmed login per role) added in v4, then the full detail: accounts, payment cards, vouchers, partner codes, taxonomy. Dashboard &amp; Environment URLs — confirmed hosts/paths and PLACEHOLDERs. Dashboard — charts and counts across all 4 role tabs. Coverage Assessment — what's covered, partial, and out of scope, with a direct answer on completeness. Admin / Teacher / Student / Mobile — the test cases, 13-column schema: Test Case ID, Role, Module, Priority, Preconditions, Test Data, URL, Steps, Expected Result, Postcondition, Type (Smoke/Regression), Execution Type (Automation/Manual), Status. The Student tab has a 14th column, Test Case Title (col B), added in v4.</t>
  </si>
  <si>
    <t>Account &amp; Security</t>
  </si>
  <si>
    <t>Package 'PTE Core Silver', display name 'BOB Stage'. Seen via Teacher &gt; Student &gt; Search. CORRECTED in v4: this row previously listed a password ('P@ssw0rd') that contradicted this very note - no password was ever actually captured for this account. For live Student-side testing, use one of the confirmed-working accounts in the Quick Reference block above, or create a fresh student via the Registration test cases (Student tab).</t>
  </si>
  <si>
    <t>Forgot/Reset Password and Change Password are now cased for all 3 roles, but every field-level detail (password policy, exact link text, exact confirmation copy) is PLACEHOLDER - these flows were never exercised live; they're grounded only in the confirmed underlying tech (Azure AD B2C's standard reset flow + SendGrid for email delivery), not in observed UI.</t>
  </si>
  <si>
    <t>QA throwaway Admin account naming convention</t>
  </si>
  <si>
    <t>ims.test.admin.YYMMDD.NN@mailinator.com</t>
  </si>
  <si>
    <t>Observed convention in Admin &gt; People &gt; Administrators (e.g. ims.test.admin.260828.02@mailinator.com). Use this pattern for any new automation-created admin accounts so they stay identifiable.</t>
  </si>
  <si>
    <t>Live Class actual in-session experience</t>
  </si>
  <si>
    <t>Payment / Voucher / Partner / Taxonomy Test Data</t>
  </si>
  <si>
    <t>Joining is covered (redirect to Zoom); what happens inside the live session (attendance tracking, recording, teacher controls during class) is not covered - out of scope of what was ever observed.</t>
  </si>
  <si>
    <t>Category</t>
  </si>
  <si>
    <t>Value(s)</t>
  </si>
  <si>
    <t>NOT COVERED / OUT OF SCOPE (named explicitly, not silently omitted)</t>
  </si>
  <si>
    <t>Card number</t>
  </si>
  <si>
    <t>1</t>
  </si>
  <si>
    <t>Approved. CVV 123, any future expiry. Shopify staging test gateway.</t>
  </si>
  <si>
    <t>Content Tool admin/authoring side</t>
  </si>
  <si>
    <t>2</t>
  </si>
  <si>
    <t>Declined.</t>
  </si>
  <si>
    <t>Content Tool &gt; Admin Home, User, Licenses, Content Creator Home, Content Evaluator (5 of 7 CT wiki docs were never read - see e2-engineering-wiki-findings.md 'Not yet read'). No test cases exist for authoring or managing content itself.</t>
  </si>
  <si>
    <t>3</t>
  </si>
  <si>
    <t>Gateway failure (distinct from a plain decline).</t>
  </si>
  <si>
    <t>Voucher</t>
  </si>
  <si>
    <t>SEPT1</t>
  </si>
  <si>
    <t>E2 Platform / LearningBase (separate products)</t>
  </si>
  <si>
    <t>$10 off any IELTS package.</t>
  </si>
  <si>
    <t>SEPT2</t>
  </si>
  <si>
    <t>$10 off OET.</t>
  </si>
  <si>
    <t>The wiki's 'E2 Dev Team' and a separate 'E2Language' collection turned out to mostly document two related-but-different products (LearningBase, rcv2-1.learningbase.io; E2 Platform, demoweb.e2platform.io) sharing some backend with E2 Language. Deliberately excluded - this suite is scoped to E2 Language only.</t>
  </si>
  <si>
    <t>Voucher - Upgrade Account</t>
  </si>
  <si>
    <t>STAGE-dpCq-123
STAGE-pbcR-2222</t>
  </si>
  <si>
    <t>90 % and 50 % off voucher</t>
  </si>
  <si>
    <t>Voucher - Additional Resources</t>
  </si>
  <si>
    <t>Field-level form validation</t>
  </si>
  <si>
    <t>STAGE-TAQJ-123</t>
  </si>
  <si>
    <t>50 % off voucher</t>
  </si>
  <si>
    <t>Required-field checks, password complexity rules, email format validation, and most exact form field lists (Registration, Live Class Scheduler, Submit Invoice, Teaching Summary, Profile Settings, CELPIP Migration) were never itemized in any source - marked PLACEHOLDER throughout rather than guessed.</t>
  </si>
  <si>
    <t>GP</t>
  </si>
  <si>
    <t>IELTS discount.</t>
  </si>
  <si>
    <t>E2V2T</t>
  </si>
  <si>
    <t>Notifications / transactional email content</t>
  </si>
  <si>
    <t>$10 off TOEFL - time-boxed to 7 days post-launch; likely expired now, useful as an expired-voucher negative case.</t>
  </si>
  <si>
    <t>Partner Org code (Active)</t>
  </si>
  <si>
    <t>GP001 / IALF / BROAD / ASPIRE / NAVITAS</t>
  </si>
  <si>
    <t>Admin &gt; Partners &gt; Organization.</t>
  </si>
  <si>
    <t>SendGrid is confirmed as the email service, and Abandon Cart's 'Email Status' column is confirmed to exist in Admin &gt; Analysis, but no test case verifies actual email delivery, content, or the Abandon Cart recovery email itself (that grid is one of the two confirmed 'never loads' defects, which also blocks verifying it server-side).</t>
  </si>
  <si>
    <t>Partner Org code (Inactive)</t>
  </si>
  <si>
    <t>JAMESEDUCATION / EIGHTFOLD / GOOD</t>
  </si>
  <si>
    <t>Correct negative-test input for 'reject inactive partner code'.</t>
  </si>
  <si>
    <t>Email domain - allowed</t>
  </si>
  <si>
    <t>Non-functional testing</t>
  </si>
  <si>
    <t>@mailinator.com</t>
  </si>
  <si>
    <t>Confirmed NOT on the blocklist.</t>
  </si>
  <si>
    <t>Email domain - blocked</t>
  </si>
  <si>
    <t>Performance/load, accessibility, cross-browser/cross-device matrices, and security testing (beyond the RBAC/session-scope cases already included) are out of scope of this suite entirely.</t>
  </si>
  <si>
    <t>@mailinator.net, @mailinator2.com</t>
  </si>
  <si>
    <t>Confirmed on the Temporary Email Domain blocklist, enforced while the 'Email Domain Validation' system flag is On (confirmed On).</t>
  </si>
  <si>
    <t>Exam Type Code taxonomy (confirmed live, Teacher &gt; Assessment filter)</t>
  </si>
  <si>
    <t>ALL, PTE, PTE Core, TOEFL, OET (Nurses and Doctors), OET (Nurses), OET (Doctors), OET (Pharmacy), IELTS Academic, IELTS General, TOEIC</t>
  </si>
  <si>
    <t>This is the closest equivalent to 'Course/Subject' in this app - a fixed taxonomy, not an admin-created custom entity.</t>
  </si>
  <si>
    <t>Concurrent/multi-device sessions</t>
  </si>
  <si>
    <t>Package tiers referenced across Upgrade/Package-Upgrade cases</t>
  </si>
  <si>
    <t>What happens if the same account is logged in on two devices/browsers at once was never explored or documented.</t>
  </si>
  <si>
    <t>Free, Express, Express Extra, Bronze, Silver, Gold, Power, Showtime, All-in, Tutorial Bundle x2/x3</t>
  </si>
  <si>
    <t>From the QA-authored 'Special packages upgrade scenario' allow/disallow matrix (wiki &gt; QA Documentation).</t>
  </si>
  <si>
    <t>Referrer-side E2 Rewards verification</t>
  </si>
  <si>
    <t>Student Test Accounts - created/used during the 2026-09-08 live execution pass</t>
  </si>
  <si>
    <t>The referred student's 25% discount is cased (TC-STU by ID in the wiki batch); the REFERRER's own reward (discount at 1 referral, bonus tutorial at 3 referrals) is explicitly flagged in the wiki as a not-yet-written follow-up and still isn't cased here.</t>
  </si>
  <si>
    <t>One endpoint for every product/tier via query params.</t>
  </si>
  <si>
    <t>Checkout (confirmed live)</t>
  </si>
  <si>
    <t>Admin credentials gap — RESOLVED this pass</t>
  </si>
  <si>
    <t>https://e2-staging-store.myshopify.com</t>
  </si>
  <si>
    <t>Shopify-hosted checkout reached via 'Pay with Card' on the Payment Information page.</t>
  </si>
  <si>
    <t>Production hostnames (wiki/architecture doc - NOT staging, reference only)</t>
  </si>
  <si>
    <t>app.e2language.com / admin.e2language.com (desktop), m.app.e2language.com (mobile), www.e2language.com (marketing), api.e2language.com (API gateway)</t>
  </si>
  <si>
    <t>The user supplied a working Super Administrator credential (apadmin@mailinator.com) which was verified live: real dashboard route, full nav, and the People &gt; Student/Teacher/Administrators screens. This was previously the #1 priority gap and is now closed for the login + People area. Not yet deep-dived with real clicks: Partners, Live Class, Video Collections, Scheduler, Analysis, AI Result, Currency Rate, Marketing Tools, Campus, Announcements, Study Pathway Rules, Utility, Banner, Group Class, Invoice, Embedded Pricing - their existence as top-level nav items is confirmed, but their internal screens/URLs are still PLACEHOLDER.</t>
  </si>
  <si>
    <t>Do not use these for staging automation runs; listed for completeness only.</t>
  </si>
  <si>
    <t>Student - free tier seed (later upgraded to paid mid-session)</t>
  </si>
  <si>
    <t>e2e.stu.free.260908@mailinator.com</t>
  </si>
  <si>
    <t>Content Tool SSO/ROPC login - desktop (Student tab)</t>
  </si>
  <si>
    <t>Started on IELTS Academic Free; used across onboarding, Upgrade, Writing practice, Recorded Classes, Score Calculator, Study Pathway, Podcast cases. Ended the session on IELTS Academic Bronze (paid) after TC-STU-027.</t>
  </si>
  <si>
    <t>Student - free tier seed #2 (later upgraded to Express via org voucher)</t>
  </si>
  <si>
    <t>e2e.stu.free2.260908@mailinator.com</t>
  </si>
  <si>
    <t>No case exists on the Student (desktop) tab; a prior version of this sheet's WELL COVERED section incorrectly claimed this was restored for both desktop and mobile. Only Mobile (TC-MOB-004) actually covers it. Add a Student-tab case before treating this as verified on desktop.</t>
  </si>
  <si>
    <t>Used for the Free-to-Power upgrade check (TC-STU-043) and the Free-to-Tutorial-Bundle check (TC-STU-044). Later converted to PTE Express via the Genepool organization voucher (TC-STU-033).</t>
  </si>
  <si>
    <t>Student - paid seed, multi-tier (Switch Course / Upgrade payment cases)</t>
  </si>
  <si>
    <t>e2e.student.260907@mailinator.com</t>
  </si>
  <si>
    <t>PLACEHOLDER - not re-captured this pass</t>
  </si>
  <si>
    <t>Bottom line</t>
  </si>
  <si>
    <t>Started as PTE Core Silver; moved through IELTS Academic Silver -&gt; PTE Core Gold -&gt; IELTS Academic Gold across the Switch Course / Upgrade payment test cases (TC-STU-013/014/015).</t>
  </si>
  <si>
    <t>Student - Express tier</t>
  </si>
  <si>
    <t>e2e.stu.express.260908@mailinator.com</t>
  </si>
  <si>
    <t>PTE Express account created for the paid-to-paid upgrade case (TC-STU-028); ended the pass upgraded to PTE Bronze.</t>
  </si>
  <si>
    <t>Student - Gold tier</t>
  </si>
  <si>
    <t>Verdict</t>
  </si>
  <si>
    <t>Account ID E2L-26090822212. Used for the Package Upgrade allow/disallow matrix (Gold -&gt; Power: blocked, TC-STU-046).</t>
  </si>
  <si>
    <t>Student - Power tier</t>
  </si>
  <si>
    <t>e2e.stu.power.260908@mailinator.com</t>
  </si>
  <si>
    <t>Account ID E2L-26090817654. Used for Power -&gt; Silver (allowed, TC-STU-047) and Power -&gt; Bronze/Showtime/All-in (blocked, TC-STU-048).</t>
  </si>
  <si>
    <t>Student - Showtime tier</t>
  </si>
  <si>
    <t>167 test cases is comprehensive for a first release of an automatable E2E suite built entirely from verified sources, but it is not exhaustive application coverage. The gaps above are the concrete list to close next, roughly in this priority order: (1) a deep-dive pass through the remaining 14 Admin nav sections (Partners, Live Class, Video Collections, Scheduler, Analysis, AI Result, Currency Rate, Marketing Tools, Campus, Announcements, Study Pathway Rules, Utility, Banner, Group Class, Invoice, Embedded Pricing), now that working Admin credentials exist to do it with; (2) a dedicated Mobile Live Class pass, since it's the largest single module in the original suite and is currently only spot-checked; (3) the 4 remaining Registration entry points; (4) Content Tool's admin/authoring side, if that's in scope for this QA effort at all.</t>
  </si>
  <si>
    <t>e2e.stu.showtime.260908@mailinator.com</t>
  </si>
  <si>
    <t>Account ID E2L-26090892965. Used for Showtime -&gt; Gold (allowed, TC-STU-049).</t>
  </si>
  <si>
    <t>Student - All-in tier</t>
  </si>
  <si>
    <t>e2e.stu.allin.260908@mailinator.com</t>
  </si>
  <si>
    <t>Account ID E2L-26090848315. Used to confirm All-in is fully locked from upgrading (TC-STU-050).</t>
  </si>
  <si>
    <t>Student - Tutorial Bundle x2 tier</t>
  </si>
  <si>
    <t>e2e.stu.bundlex2.260908@mailinator.com</t>
  </si>
  <si>
    <t>Account ID E2L-26090886428. Used to confirm Tutorial Bundle tiers are fully locked from upgrading (TC-STU-051).</t>
  </si>
  <si>
    <t>Student - Express Extra tier</t>
  </si>
  <si>
    <t>e2e.stu.expressextra.260908@mailinator.com</t>
  </si>
  <si>
    <t>Account ID E2L-26090853782. Used for Express Extra -&gt; Silver (allowed, TC-STU-052).</t>
  </si>
  <si>
    <t>Student - Free Account - Expired</t>
  </si>
  <si>
    <t>e2e-manual-test-001@mailinator.com</t>
  </si>
  <si>
    <t>E2L-26061189100 - &gt; Expired account -&gt; PTE Free Account</t>
  </si>
  <si>
    <t>Student - Free Account - Extended</t>
  </si>
  <si>
    <t>test-ptea123@testing.com</t>
  </si>
  <si>
    <t>E2L-26062421523 -&gt; Expired Account -&gt; PTE Free Account</t>
  </si>
  <si>
    <t>Vouchers / discounts created or found during the 2026-09-08 pass</t>
  </si>
  <si>
    <t>Organization voucher (created via Admin for this pass)</t>
  </si>
  <si>
    <t>GP001-bZbC-01</t>
  </si>
  <si>
    <t>Created via Admin &gt; Partners &gt; Organization &gt; Genepool &gt; Show Voucher &gt; Create Single Voucher. Type: Price Discount -$10.00, Test Type: PTE, Usability: Multiple. Confirmed working end-to-end (TC-STU-033) - the discount applied automatically and the resulting student was correctly listed under Organization = Genepool.</t>
  </si>
  <si>
    <t>Email domain - also found blocked (new this pass)</t>
  </si>
  <si>
    <t>@yopmail.com</t>
  </si>
  <si>
    <t>Registration rejects this domain with 'An error occurred while validating the email address' - same category of block as the pre-existing @mailinator.com bug (TC-STU-008), suggesting a generic disposable-email-domain filter rather than a mailinator-specific rule.</t>
  </si>
  <si>
    <t>Test Case ID</t>
  </si>
  <si>
    <t>Module</t>
  </si>
  <si>
    <t>Priority</t>
  </si>
  <si>
    <t>Preconditions</t>
  </si>
  <si>
    <t>Test Data</t>
  </si>
  <si>
    <t>URL</t>
  </si>
  <si>
    <t>Steps</t>
  </si>
  <si>
    <t>Expected Result</t>
  </si>
  <si>
    <t>Postcondition</t>
  </si>
  <si>
    <t>Type</t>
  </si>
  <si>
    <t>Execution Type</t>
  </si>
  <si>
    <t>Status</t>
  </si>
  <si>
    <t>TC-ADM-001</t>
  </si>
  <si>
    <t>Admin</t>
  </si>
  <si>
    <t>Login &amp; Authentication</t>
  </si>
  <si>
    <t>High</t>
  </si>
  <si>
    <t>Valid Super Administrator credentials for the staging environment (CONFIRMED LIVE this session — see Credentials sheet). Browser: latest Chrome/Firefox/Edge/Safari.</t>
  </si>
  <si>
    <t>Username = apadmin@mailinator.com; Password = RzyE3Bti2ZHGqJjU</t>
  </si>
  <si>
    <t>1. Navigate to the Account/Login URL.
2. Enter the Super Administrator email/username.
3. Enter the corresponding password.
4. Click Login/Sign In.</t>
  </si>
  <si>
    <t>CONFIRMED LIVE: Azure AD B2C authenticates the account and redirects to https://azdopl-rc-adminapp.e2language.com/Administrator/Home. Header shows role badge 'SUPER ADMINISTRATOR' and username 'apadmin'. The left nav shows all 18 confirmed top-level sections: Dashboard, People, Partners, Live Class, Video Collections, Scheduler, Analysis, AI Result, Currency Rate, Marketing Tools, Campus, Announcements, Study Pathway Rules, Utility, Banner, Group Class, Invoice, Embedded Pricing.</t>
  </si>
  <si>
    <t>An authenticated Admin (Azure AD B2C) session exists for subsequent Admin test cases.</t>
  </si>
  <si>
    <t>Smoke</t>
  </si>
  <si>
    <t>Automation</t>
  </si>
  <si>
    <t>Not Executed</t>
  </si>
  <si>
    <t>TC-ADM-002</t>
  </si>
  <si>
    <t>Medium</t>
  </si>
  <si>
    <t>No active session (logged out).</t>
  </si>
  <si>
    <t>Username = apadmin@mailinator.com (valid); Password = WrongPass!1 (deliberately incorrect)</t>
  </si>
  <si>
    <t>1. Navigate to the Account/Login URL.
2. Enter a valid Admin username.
3. Enter an incorrect password.
4. Click Login/Sign In.</t>
  </si>
  <si>
    <t>Login is rejected with an on-page authentication error; no session is created; the user remains on the login page.</t>
  </si>
  <si>
    <t>No session created.</t>
  </si>
  <si>
    <t>Regression</t>
  </si>
  <si>
    <t>TC-ADM-003</t>
  </si>
  <si>
    <t>Authenticated as Admin (TC-ADM-001 completed).</t>
  </si>
  <si>
    <t>1. From any authenticated Admin page, open the account menu and click Logout.
2. Confirm the browser lands back on the login page.
3. Attempt to navigate directly back to an Admin page.</t>
  </si>
  <si>
    <t>The Azure AD B2C session is terminated; any subsequent navigation to an Admin page redirects back to Account/Login rather than showing content.</t>
  </si>
  <si>
    <t>Session ended.</t>
  </si>
  <si>
    <t>TC-ADM-004</t>
  </si>
  <si>
    <t>Login &amp; Authentication - Session Scope</t>
  </si>
  <si>
    <t>Authenticated as Admin without logging out.</t>
  </si>
  <si>
    <t>https://azdopl-rc-main.e2language.com/ or the Teacher host, while an Admin session is active</t>
  </si>
  <si>
    <t>1. While authenticated as Admin, navigate directly to the Student app host or the Teacher dashboard URL without using Logout first.
2. Observe the resulting page.</t>
  </si>
  <si>
    <t>CONFIRMED LIVE this session (reproduced with a Teacher session, same mechanism applies to Admin): the existing Admin Azure AD B2C session is honored - navigating to another role's host redirects back into the Admin's own landing page rather than prompting a fresh login or silently switching roles. Logout (Account/SingleLogout) is required before authenticating as a different role.</t>
  </si>
  <si>
    <t>Original Admin session remains active.</t>
  </si>
  <si>
    <t>TC-ADM-005</t>
  </si>
  <si>
    <t>Admin Dashboard</t>
  </si>
  <si>
    <t>Authenticated as Admin (TC-ADM-001).</t>
  </si>
  <si>
    <t>1. Log in as Admin.
2. Observe the landing page and left navigation.
3. Confirm each of the 18 confirmed top-level nav items is present: Dashboard, People, Partners, Live Class, Video Collections, Scheduler, Analysis, AI Result, Currency Rate, Marketing Tools, Campus, Announcements, Study Pathway Rules, Utility, Banner, Group Class, Invoice, Embedded Pricing.</t>
  </si>
  <si>
    <t>All 18 confirmed top-level nav items are present and clickable. PRODUCT FINDING (confirmed live, not a test-authoring gap): the dashboard's main content area currently renders only the literal placeholder text 'Admin dashboard goes here!' - there is no actual dashboard content (no charts/metrics/widgets) as of this verification.</t>
  </si>
  <si>
    <t>TC-ADM-006</t>
  </si>
  <si>
    <t>Admin Setup - Users</t>
  </si>
  <si>
    <t>Authenticated as Admin.</t>
  </si>
  <si>
    <t>Convention: ims.test.admin.YYMMDD.NN@mailinator.com (see Credentials sheet)</t>
  </si>
  <si>
    <t>Admin &gt; People &gt; Administrators (client-side SPA nav - no distinct URL; see Dashboard URLs sheet)</t>
  </si>
  <si>
    <t>1. Navigate to People &gt; Administrators.
2. Confirm the Administrators grid loads with UserName / Email Address columns and a Search box.
3. Search for an existing QA test admin account following the naming convention, or create a new one following the same convention.</t>
  </si>
  <si>
    <t>CONFIRMED LIVE: the Administrators grid loads with columns UserName, Email Address, a Search box, page size selector, and refresh/column-config icons; rows following the ims.test.admin.YYMMDD.NN@mailinator.com convention are present (e.g. ims.test.admin.260828.02@mailinator.com, ims.test.admin.260604@mailinator.com), alongside other non-convention admin accounts. NOTE: the naming convention is an informal QA practice, not a confirmed system-enforced validation rule.</t>
  </si>
  <si>
    <t>TC-ADM-007</t>
  </si>
  <si>
    <t>Authenticated as Admin. An existing Student test account (e.g. kadaj29422@prorises.com).</t>
  </si>
  <si>
    <t>Keyword = kadaj29422@prorises.com (or a Student ID like E2L-108876)</t>
  </si>
  <si>
    <t>Admin &gt; People &gt; Student &gt; Search (client-side SPA nav - no distinct URL)</t>
  </si>
  <si>
    <t>1. Navigate to People &gt; Student &gt; Search.
2. Enter the student's email address or Student ID in the Keyword field.
3. Click Search.
4. Click the returned Student ID link to open the record.</t>
  </si>
  <si>
    <t>TC-TCH-001</t>
  </si>
  <si>
    <t>CONFIRMED LIVE: the Search page has a Keyword field (placeholder text 'Please enter Student ID (i.e. E2L-108876) or Email Address') and a results table (Student ID / Email Address / Package columns). Searching kadaj29422@prorises.com returns Student ID E2L-26090274074, Package 'PTE Core Silver'. Clicking the Student ID opens the Student Detail record (First Name 'BOB', Last Name 'Stage', status badge 'Active').</t>
  </si>
  <si>
    <t>Teacher</t>
  </si>
  <si>
    <t>TC-ADM-008</t>
  </si>
  <si>
    <t>Valid Teacher credentials (confirmed test account). If another role is currently authenticated in the same browser profile, log out first - confirmed live this session: the shared Azure AD B2C session does NOT silently switch roles.</t>
  </si>
  <si>
    <t>Username = nacedos274@slotbeer.com; Password = Temp@1234</t>
  </si>
  <si>
    <t>TC-ADM-007 completed (student record open).</t>
  </si>
  <si>
    <t>Target package example: PTE Core Silver.</t>
  </si>
  <si>
    <t>Student Detail &gt; View Package Detail &gt; Add Package (client-side SPA nav - no distinct URL)</t>
  </si>
  <si>
    <t>1. Navigate to the Account/Login URL (log out of any other role first).
2. Enter the Teacher credentials.
3. Click Login/Sign In.</t>
  </si>
  <si>
    <t>1. From the open student record, click View Package Detail (this expands an inline 'Student Package' panel, NOT a separate page).
2. In that panel, click Add Package.
3. Choose a target package and confirm.</t>
  </si>
  <si>
    <t>Authenticates successfully and redirects to https://azdopl-rc-adminapp.e2language.com/Teacher/Home (confirmed live), which displays 'Teacher Home' with Writing / Speaking / Mock Test Assessment pending-count tiles and a Scheduler panel.</t>
  </si>
  <si>
    <t>CORRECTED this session: Add Package is NOT a standalone action on the Student Detail page - it is a button inside the inline 'Student Package' panel opened by View Package Detail, alongside a table (Exam Type / Package / Organization / Status / Action columns) and a Close button. The package is applied without requiring a real checkout transaction (documented way to set up an 'existing paid student' precondition).</t>
  </si>
  <si>
    <t>An authenticated Teacher session exists for subsequent Teacher test cases.</t>
  </si>
  <si>
    <t>Student now holds the assigned package - usable as a precondition for Upgrade / Extend / Switch Course / Add-on test cases and for TC-E2E-001.</t>
  </si>
  <si>
    <t>TC-ADM-009</t>
  </si>
  <si>
    <t>Student Detail &gt; View Package Detail (client-side SPA nav - no distinct URL)</t>
  </si>
  <si>
    <t>1. From the student record, click View Package Detail.</t>
  </si>
  <si>
    <t>CONFIRMED LIVE: an inline 'Student Package' panel expands showing a table with columns Exam Type, Package, Organization, Status, Action (cart and org-tree icons per row), plus Add Package and Close buttons. For kadaj29422@prorises.com the row shows Exam Type 'PTE Core', Package 'Silver', Organization 'E2Language', Status 'Active'.</t>
  </si>
  <si>
    <t>TC-ADM-010</t>
  </si>
  <si>
    <t>Low</t>
  </si>
  <si>
    <t>An existing Student test account (student record open).</t>
  </si>
  <si>
    <t>Student Detail &gt; View Registration History (client-side SPA nav - no distinct URL)</t>
  </si>
  <si>
    <t>TC-TCH-002</t>
  </si>
  <si>
    <t>1. From the student record, click View Registration History.</t>
  </si>
  <si>
    <t>CONFIRMED LIVE this session: 'View Registration History' is a real button on the Student Detail page (alongside View Login History, View Package Detail, View Additional Package Detail, Share and Earn, View Notes, View Survey, Student Consultation, Reset Password, Delete Student). A registration history list renders for the student (exact columns still PLACEHOLDER - not itemized this pass; record them at first execution).</t>
  </si>
  <si>
    <t>Username = nacedos274@slotbeer.com; Password = WrongPass!1 (deliberately incorrect)</t>
  </si>
  <si>
    <t>TC-ADM-011</t>
  </si>
  <si>
    <t>Admin Setup - Course/Subject</t>
  </si>
  <si>
    <t>1. Navigate to the Account/Login URL.
2. Enter the Teacher username with an incorrect password.
3. Click Login/Sign In.</t>
  </si>
  <si>
    <t>Authenticated as Admin or Teacher.</t>
  </si>
  <si>
    <t>Login is rejected with an on-page error; no redirect to /Teacher/Home occurs.</t>
  </si>
  <si>
    <t>Confirmed live values: ALL, PTE, PTE Core, TOEFL, OET (Nurses and Doctors), OET (Nurses), OET (Doctors), OET (Pharmacy), IELTS Academic, IELTS General, TOEIC.</t>
  </si>
  <si>
    <t>Any Admin/Teacher screen exposing the Exam Type Code filter (confirmed present on Teacher &gt; Assessment)</t>
  </si>
  <si>
    <t>1. Open a screen with an Exam Type Code filter.
2. Open the dropdown.
3. Compare the full option list against the confirmed taxonomy.</t>
  </si>
  <si>
    <t>All 10 exam types plus 'ALL' are present and selectable. NOTE: in this application, 'Course/Subject' is a fixed system taxonomy of exam types, not an admin-created custom entity - there is no confirmed Admin capability to author a brand-new custom course/subject; mark that broader capability N/A unless independently found.</t>
  </si>
  <si>
    <t>TC-ADM-012</t>
  </si>
  <si>
    <t>Admin Setup - Class</t>
  </si>
  <si>
    <t>TC-TCH-003</t>
  </si>
  <si>
    <t>No Live Class instance currently scheduled (confirmed default: Admin &gt; Live Class &gt; Event ('Upcoming') shows 'No results found!').</t>
  </si>
  <si>
    <t>Exact scheduler form fields PLACEHOLDER - not itemized in findings (expected: date/time, exam type, teacher assignment, capacity - confirm actual fields at execution).</t>
  </si>
  <si>
    <t>Admin/Teacher &gt; Live Class Scheduler (exact URL PLACEHOLDER)</t>
  </si>
  <si>
    <t>1. Navigate to Live Class Scheduler.
2. Create/schedule a new Live Class instance for a test exam type and time slot.
3. Confirm it now appears under Admin &gt; Live Class &gt; Event (Upcoming).</t>
  </si>
  <si>
    <t>Authenticated as Teacher (TC-TCH-001 completed).</t>
  </si>
  <si>
    <t>The previously-empty 'Upcoming' Live Class list now shows the newly scheduled instance.</t>
  </si>
  <si>
    <t>A live class instance now exists, unblocking any Live Class module test case that requires one (matches the precondition addendum already applied to the Live Class module in E2_Language_Regression_Test_Cases_v2.xlsx).</t>
  </si>
  <si>
    <t>1. From Teacher Home, open the account menu (shows nacedos274@slotbeer.com) and click Logout.
2. Attempt to navigate directly back to /Teacher/Home.</t>
  </si>
  <si>
    <t>Session ends; navigating back to /Teacher/Home redirects to Account/Login.</t>
  </si>
  <si>
    <t>TC-ADM-013</t>
  </si>
  <si>
    <t>Admin Setup - Assignments</t>
  </si>
  <si>
    <t>Authenticated as Admin. At least one existing AI practice activity (e.g. 'Practice Test 1: Writing Task 1').</t>
  </si>
  <si>
    <t>Admin &gt; Marketing Tools &gt; Activity URL (exact base URL PLACEHOLDER)</t>
  </si>
  <si>
    <t>1. Navigate to Marketing Tools &gt; Activity URL.
2. Locate an existing activity.
3. Click 'View Url' to generate its direct deep link.
4. Copy the URL.</t>
  </si>
  <si>
    <t>TC-TCH-004</t>
  </si>
  <si>
    <t>A direct deep link is generated matching the confirmed pattern https://azdopl-rc-main.e2language.com/Student/MockTestTwoColumnWritingSummarize/StartPage?activityId=&lt;id&gt;. NOTE on scope: there is no confirmed Admin capability to author a brand-new assignment/activity from scratch in this findings set - Admin's confirmed role here is exposing deep links to and reviewing submissions for EXISTING activities; treat 'Admin creates a new assignment' as N/A / unconfirmed rather than assumed.</t>
  </si>
  <si>
    <t>Authenticated as Teacher without logging out.</t>
  </si>
  <si>
    <t>TC-ADM-014</t>
  </si>
  <si>
    <t>https://azdopl-rc-main.e2language.com/ (confirmed live this session)</t>
  </si>
  <si>
    <t>1. While authenticated as Teacher, navigate directly to the Student app host without using Logout first.
2. Observe the resulting page.</t>
  </si>
  <si>
    <t>Admin &gt; Marketing Tools &gt; Package URL (exact URL PLACEHOLDER)</t>
  </si>
  <si>
    <t>1. Navigate to Marketing Tools &gt; Package URL.
2. Generate a deep link for an existing package.</t>
  </si>
  <si>
    <t>CONFIRMED LIVE this session: navigating to azdopl-rc-main.e2language.com while Teacher-authenticated redirects back to https://azdopl-rc-adminapp.e2language.com/Teacher/Home rather than prompting a fresh Student login or silently switching roles.</t>
  </si>
  <si>
    <t>A deep link is generated for the package, following the same 'View Url' pattern confirmed for Activity URL. Exact URL shape not independently inspected - PLACEHOLDER, confirm at execution.</t>
  </si>
  <si>
    <t>Original Teacher session remains active.</t>
  </si>
  <si>
    <t>TC-ADM-015</t>
  </si>
  <si>
    <t>TC-TCH-005</t>
  </si>
  <si>
    <t>Admin &gt; Marketing Tools &gt; Addons URL (exact URL PLACEHOLDER)</t>
  </si>
  <si>
    <t>1. Navigate to Marketing Tools &gt; Addons URL.
2. Generate a deep link for an existing add-on.</t>
  </si>
  <si>
    <t>Teacher Dashboard</t>
  </si>
  <si>
    <t>A deep link is generated for the add-on, following the same 'View Url' pattern confirmed for Activity URL. Exact URL shape not independently inspected - PLACEHOLDER, confirm at execution.</t>
  </si>
  <si>
    <t>Authenticated as Teacher (TC-TCH-001).</t>
  </si>
  <si>
    <t>TC-ADM-016</t>
  </si>
  <si>
    <t>1. Log in as Teacher.
2. Read the Writing, Speaking, and Mock Test Assessment tile counts on Teacher Home.
3. Confirm the Scheduler panel renders (states observed live: either a schedule or 'There is no schedule right now...').</t>
  </si>
  <si>
    <t>Admin Setup - Utility</t>
  </si>
  <si>
    <t>All three workload tiles render a non-negative integer (values fluctuate over time - observed live: Writing 130, Speaking 24, Mock Test Assessment 19; assert 'renders a number', not these exact figures). Scheduler panel renders without error.</t>
  </si>
  <si>
    <t>Authenticated as Admin. 'Email Domain Validation' system flag is currently On (confirmed).</t>
  </si>
  <si>
    <t>Blocked: mailinator.net, mailinator2.com. Allowed: mailinator.com.</t>
  </si>
  <si>
    <t>Admin &gt; Utility &gt; System Setting / Temporary Email Domain (exact URL PLACEHOLDER)</t>
  </si>
  <si>
    <t>1. Navigate to Utility &gt; System Setting and confirm 'Email Domain Validation' = On.
2. Navigate to Utility &gt; Temporary Email Domain and confirm mailinator.net and mailinator2.com are present on the blocklist, and mailinator.com is not.</t>
  </si>
  <si>
    <t>Blocklist and flag state match the confirmed values above.</t>
  </si>
  <si>
    <t>TC-TCH-006</t>
  </si>
  <si>
    <t>TC-ADM-017</t>
  </si>
  <si>
    <t>Authenticated as Teacher; Mock Test Assessment tile shows a non-zero pending count.</t>
  </si>
  <si>
    <t>Confirmed On: Enable Placement Test, Enable E2S English Fundamental, CELPIP Home V2, Toefl retirement setting. Confirmed Off: Enable Split it Add On Payment, Password Protected Page.</t>
  </si>
  <si>
    <t>Admin &gt; Utility &gt; System Setting (exact URL PLACEHOLDER)</t>
  </si>
  <si>
    <t>1. Navigate to Utility &gt; System Setting.
2. Confirm each listed flag's state matches the confirmed value.</t>
  </si>
  <si>
    <t>1. Note the Mock Test Assessment tile count.
2. Click 'View Details' under Mock Test Assessment.
3. Observe the resulting list view's default Exam Type Code filter and result count.</t>
  </si>
  <si>
    <t>All listed flags match. NOTE: a test case that assumes a 'split payment' / installment checkout option, or a whole-site password gate, does not apply in this environment while these flags are Off - mark such cases N/A/environment-gated rather than an unexplained fail.</t>
  </si>
  <si>
    <t>KNOWN DEFECT (confirmed live, previously logged as TC-D162 in the regression suite): the list view defaults to a blank Exam Type Code filter and shows 'No results found!' even though the dashboard tile shows a non-zero count. Expected/target behavior: the list should show the same count as the tile with no filter selected. Use this case to confirm whether the defect is fixed or still present.</t>
  </si>
  <si>
    <t>TC-ADM-018</t>
  </si>
  <si>
    <t>Course Type, Voucher Code, Organization Code, Disable Hero Voucher toggle.</t>
  </si>
  <si>
    <t>Admin &gt; Utility &gt; Embedded Pricing (exact URL PLACEHOLDER)</t>
  </si>
  <si>
    <t>TC-TCH-007</t>
  </si>
  <si>
    <t>1. Navigate to Embedded Pricing.
2. Generate an embeddable pricing-table iframe using a Course Type, Voucher Code, and Organization Code.
3. Copy the generated URL/embed code.</t>
  </si>
  <si>
    <t>An embeddable pricing-table URL and embed code are generated, parameterized by the selected inputs.</t>
  </si>
  <si>
    <t>Teacher Dashboard - Scheduler</t>
  </si>
  <si>
    <t>Authenticated as Teacher.</t>
  </si>
  <si>
    <t>Teacher &gt; Scheduler (client-side SPA nav - no distinct URL)</t>
  </si>
  <si>
    <t>TC-ADM-019</t>
  </si>
  <si>
    <t>1. Navigate to Scheduler.
2. Confirm the calendar renders with month/week/day view toggles.
3. Confirm any live scheduled appointments render (observed live example: a real 1:1 tutoring appointment on Sept 7 2026, 'Jeshika Teacher - PTE Aca...').</t>
  </si>
  <si>
    <t>Authenticated as Admin. Up to 25 legacy CELPIP account emails.</t>
  </si>
  <si>
    <t>CONFIRMED LIVE this session: Scheduler is a full calendar widget (month/week/day toggle, prev/next/today controls) - re-verified this session showing September 2026 with no events for this teacher, consistent with the Teacher Home 'There is no schedule right now...' tile. NOTE: the specific appointment example from the earlier finding is a live data point, not a fixed test fixture - assert structure/rendering, not that exact appointment persisting indefinitely.</t>
  </si>
  <si>
    <t>Admin &gt; People &gt; Student &gt; CELPIP Migration (exact URL PLACEHOLDER)</t>
  </si>
  <si>
    <t>1. Navigate to People &gt; Student &gt; CELPIP Migration.
2. Submit up to 25 emails for bulk legacy-account migration.</t>
  </si>
  <si>
    <t>The migration tool accepts the batch (exact success/failure UI PLACEHOLDER - confirm at execution).</t>
  </si>
  <si>
    <t>TC-ADM-020</t>
  </si>
  <si>
    <t>TC-TCH-008</t>
  </si>
  <si>
    <t>Admin Setup - Partners</t>
  </si>
  <si>
    <t>Teacher Workflow - Grading (Writing)</t>
  </si>
  <si>
    <t>Active: GP001, IALF, BROAD, ASPIRE, NAVITAS. Inactive: JAMESEDUCATION, EIGHTFOLD, GOOD.</t>
  </si>
  <si>
    <t>Authenticated as Teacher. At least one Writing assessment pending (confirmed default backlog exists).</t>
  </si>
  <si>
    <t>Admin &gt; Partners &gt; Organization (exact URL PLACEHOLDER)</t>
  </si>
  <si>
    <t>1. Navigate to Partners &gt; Organization.
2. Confirm each Active code shows Active status and each Inactive code shows Inactive status.</t>
  </si>
  <si>
    <t>Status for every listed code matches the confirmed values above.</t>
  </si>
  <si>
    <t>https://azdopl-rc-adminapp.e2language.com/Teacher/Home -&gt; Writing queue</t>
  </si>
  <si>
    <t>TC-ADM-021</t>
  </si>
  <si>
    <t>1. From Teacher Home, click the Writing tile's 'View Details'.
2. Open a pending Writing submission.
3. Review Student Details, Question Prompt, and Answer Text; note the auto-computed Word Count.
4. Optionally record Audio Feedback.
5. Enter a Comment and click Save Comment.
6. In the Supervisor Score panel, enter scores/comments for Task Achievement (including its 5 sub-criteria - Purpose, Tone, Bullet points, Format, Length, each a free-text 'Action' box, not a selector), Coherence &amp; Cohesion, Lexical Resource, and Grammatical Range &amp; Accuracy.
7. Set the overall Score field and the Recommendation dropdown (High/Medium/Low).
8. Click Submit Score.</t>
  </si>
  <si>
    <t>The score, comment, and recommendation are saved; the submission leaves the pending Writing queue; the Writing pending count decrements by 1.</t>
  </si>
  <si>
    <t>Authenticated as Admin. An existing partner Organization (e.g. GP001).</t>
  </si>
  <si>
    <t>Submission is graded; feeds the student-visible feedback in TC-E2E-005.</t>
  </si>
  <si>
    <t>Admin &gt; Partners &gt; Organization &gt; Show Voucher (exact URL PLACEHOLDER)</t>
  </si>
  <si>
    <t>1. Open an Organization record.
2. Select 'Show Voucher'.</t>
  </si>
  <si>
    <t>The organization's own associated voucher(s) are displayed, separate from the general Agent voucher list (SEPT1/SEPT2/VU/GP/E2V2T). Whether org-specific vouchers behave differently at checkout than agent vouchers was not independently verified - record actual behavior at execution.</t>
  </si>
  <si>
    <t>TC-TCH-009</t>
  </si>
  <si>
    <t>TC-ADM-022</t>
  </si>
  <si>
    <t>Admin Setup - Analysis</t>
  </si>
  <si>
    <t>A pending Writing submission's marking screen is open.</t>
  </si>
  <si>
    <t>Authenticated as Admin. At least one completed transaction exists.</t>
  </si>
  <si>
    <t>Admin &gt; Analysis &gt; Payment Log (exact URL PLACEHOLDER)</t>
  </si>
  <si>
    <t>Teacher Writing marking screen</t>
  </si>
  <si>
    <t>1. Navigate to Analysis &gt; Payment Log.
2. Confirm the grid loads (observed live: ~9-11s, slow but resolves) and shows Transaction Date / Email / Type / Status (PENDING vs COMPLETED) columns.</t>
  </si>
  <si>
    <t>1. Open a pending Writing submission.
2. Read the auto-computed Word Count field only (no other action).</t>
  </si>
  <si>
    <t>The grid loads within a defined timeout (recommend 10s+ per confirmed slow-load pattern) and shows accurate transaction records - the correct place to confirm a payment completed server-side.</t>
  </si>
  <si>
    <t>Word Count reflects an accurate count of the student's Answer Text, computed automatically without manual entry.</t>
  </si>
  <si>
    <t>TC-ADM-023</t>
  </si>
  <si>
    <t>Authenticated as Admin. A GST-applicable (Australian IP) transaction exists.</t>
  </si>
  <si>
    <t>TC-TCH-010</t>
  </si>
  <si>
    <t>Admin &gt; Analysis &gt; GST Report (exact URL PLACEHOLDER)</t>
  </si>
  <si>
    <t>1. Navigate to Analysis &gt; GST Report.
2. Confirm the 'Registration Info' column shows IP + geolocation pairs.
3. Confirm GST-flagged transactions correspond to Australian IPs.</t>
  </si>
  <si>
    <t>Confirmed live: GST/VAT/Non-GST tax scenario is driven by IP geolocation, NOT the student's 'Country of Residence' profile field or the Currency Rate toggle. Automating this scenario requires a geo-located proxy/IP (Australia for GST) - a generic CI/cloud IP will not reproduce it.</t>
  </si>
  <si>
    <t>1. Open a pending Writing submission.
2. Click the Audio Feedback record control and record a short clip.
3. Save.</t>
  </si>
  <si>
    <t>TC-ADM-024</t>
  </si>
  <si>
    <t>Admin Setup - Analysis (known defect)</t>
  </si>
  <si>
    <t>An audio feedback clip is attached to the submission and is retrievable (exact playback UI for the student side PLACEHOLDER - not independently verified; cross-check with TC-E2E-005).</t>
  </si>
  <si>
    <t>Admin &gt; Analysis &gt; AI Result (exact URL PLACEHOLDER)</t>
  </si>
  <si>
    <t>1. Navigate to Analysis &gt; AI Result.
2. Wait at least 15s.</t>
  </si>
  <si>
    <t>KNOWN DEFECT (confirmed live, retested with waits up to 15s+): this grid never resolves 'Loading...'. Use this case to confirm whether the defect is fixed or still present rather than assuming instant load.</t>
  </si>
  <si>
    <t>TC-TCH-011</t>
  </si>
  <si>
    <t>TC-ADM-025</t>
  </si>
  <si>
    <t>Admin &gt; Analysis &gt; Abandon Cart (exact URL PLACEHOLDER)</t>
  </si>
  <si>
    <t>1. Navigate to Analysis &gt; Abandon Cart.
2. Wait at least 15s.</t>
  </si>
  <si>
    <t>1. Enter text in the Comment box.
2. Click Save Comment (without touching Score/Recommendation).</t>
  </si>
  <si>
    <t>KNOWN DEFECT (confirmed live, retested with waits up to 15s+): this grid never resolves 'Loading...'. This would otherwise be the direct verification point for the Special Vouchers &gt; Abandon Cart student test cases (Student tab) - flag as a blocker for verifying those server-side until fixed.</t>
  </si>
  <si>
    <t>The comment is saved independently of the Supervisor Score fields - Save Comment is a distinct action from Submit Score.</t>
  </si>
  <si>
    <t>TC-ADM-026</t>
  </si>
  <si>
    <t>Admin Setup - Reporting</t>
  </si>
  <si>
    <t>TC-TCH-012</t>
  </si>
  <si>
    <t>Authenticated as Admin. Teacher(s) have submitted invoices (Teacher tab, Submit Invoice case).</t>
  </si>
  <si>
    <t>Admin &gt; Invoice &gt; Tutor Pricing / Invoice History (exact URL PLACEHOLDER)</t>
  </si>
  <si>
    <t>Teacher Workflow - Grading (Speaking)</t>
  </si>
  <si>
    <t>1. Navigate to Invoice &gt; Invoice History.
2. Confirm invoices submitted by Teachers appear here.</t>
  </si>
  <si>
    <t>Teacher-submitted invoices are visible on the Admin side. This specific linkage was not independently verified in prior live testing - confirm at execution.</t>
  </si>
  <si>
    <t>Authenticated as Teacher. At least one Speaking assessment pending (confirmed default backlog exists).</t>
  </si>
  <si>
    <t>https://azdopl-rc-adminapp.e2language.com/Teacher/Home -&gt; Speaking queue</t>
  </si>
  <si>
    <t>TC-ADM-027</t>
  </si>
  <si>
    <t>1. From Teacher Home, click the Speaking tile's 'View Details'.
2. Open a pending Speaking submission.
3. Play the 'Student Submission and Original Text' audio and the 'Sample Answer' reference audio (no text answer box for this task type).
4. Enter a Comment and click Save Comment.
5. In the Supervisor Score panel, enter scores/comments for Fluency &amp; Coherence, Lexical Resource, Grammatical Range &amp; Accuracy, and Pronunciation.
6. Set the overall Score and Recommendation (High/Medium/Low).
7. Click Submit Score.</t>
  </si>
  <si>
    <t>The score, comment, and recommendation are saved; the submission leaves the pending Speaking queue; the Speaking pending count decrements by 1.</t>
  </si>
  <si>
    <t>Submission is graded.</t>
  </si>
  <si>
    <t>Admin Setup - Study Pathway</t>
  </si>
  <si>
    <t>Example: PTE score band x preparation-time band.</t>
  </si>
  <si>
    <t>Admin &gt; Study Pathway Rules (exact URL PLACEHOLDER)</t>
  </si>
  <si>
    <t>1. Navigate to Study Pathway Rules.
2. Filter by exam type.
3. Confirm a rule mapping (score band x prep-time band) -&gt; recommended study pathway is shown.</t>
  </si>
  <si>
    <t>TC-TCH-013</t>
  </si>
  <si>
    <t>The rule engine returns a recommended pathway for the selected combination. Likely drives 'recommended for you' content on the student dashboard - not independently cross-verified from the student side.</t>
  </si>
  <si>
    <t>A pending Speaking submission's marking screen is open.</t>
  </si>
  <si>
    <t>TC-E2E-001</t>
  </si>
  <si>
    <t>Teacher Speaking marking screen</t>
  </si>
  <si>
    <t>Cross-Role E2E Flow (leg 1 of 6)</t>
  </si>
  <si>
    <t>1. Open a pending Speaking submission.
2. Play the 'Sample Answer' reference audio player only (no other action).</t>
  </si>
  <si>
    <t>Admin authenticated (TC-ADM-001). Test student exists (kadaj29422@prorises.com, or a fresh student from TC-STU-007).</t>
  </si>
  <si>
    <t>The Sample Answer reference audio plays correctly, distinct from the 'Student Submission and Original Text' player.</t>
  </si>
  <si>
    <t>Target package: e.g. PTE Core Silver.</t>
  </si>
  <si>
    <t>Admin &gt; People &gt; Student &gt; Add Package (exact URL PLACEHOLDER)</t>
  </si>
  <si>
    <t>1. Search for the test student.
2. Add/confirm the target package via Add Package.
3. Verify via View Package Detail.</t>
  </si>
  <si>
    <t>The student's package is set/confirmed as expected.</t>
  </si>
  <si>
    <t>Student holds the assigned package. Feeds TC-E2E-002.</t>
  </si>
  <si>
    <t>TC-TCH-014</t>
  </si>
  <si>
    <t>TC-E2E-006</t>
  </si>
  <si>
    <t>Cross-Role E2E Flow (leg 6 of 6)</t>
  </si>
  <si>
    <t>Teacher Workflow - Grading (buttons)</t>
  </si>
  <si>
    <t>TC-E2E-001 through TC-E2E-005 completed. Admin authenticated.</t>
  </si>
  <si>
    <t>A pending submission's marking screen is open with an unsaved Comment/Score entered.</t>
  </si>
  <si>
    <t>Admin &gt; Analysis &gt; Payment Log, or Admin &gt; Marketing Tools &gt; Activity URL (exact URLs PLACEHOLDER)</t>
  </si>
  <si>
    <t>Teacher marking screen (Writing or Speaking)</t>
  </si>
  <si>
    <t>1. Log in as Admin.
2. If a real paid transaction occurred anywhere in the chain (e.g. a TC-STU-007-style registration/upgrade was used instead of Add Package), confirm it in Payment Log.
3. Otherwise, confirm via Marketing Tools &gt; Activity URL that the activity used in TC-E2E-003 is a known, catalogued activity.</t>
  </si>
  <si>
    <t>1. Enter a Comment and a partial Score.
2. Click Cancel (without Save/Submit).
3. Reopen the same submission.</t>
  </si>
  <si>
    <t>Admin-side records are consistent with everything performed by the Teacher and Student in the intervening steps, closing the Admin -&gt; Teacher -&gt; Student -&gt; Teacher -&gt; Student -&gt; Admin loop.</t>
  </si>
  <si>
    <t>Full cross-role chain verified end-to-end.</t>
  </si>
  <si>
    <t>Confirmed live: Cancel is non-destructive - no partial data is saved; the submission remains in its original pending state with the original (blank) score/comment.</t>
  </si>
  <si>
    <t>TC-ADM-028</t>
  </si>
  <si>
    <t>Account &amp; Security - Password Reset</t>
  </si>
  <si>
    <t>Admin account exists; no active session.</t>
  </si>
  <si>
    <t>TC-TCH-015</t>
  </si>
  <si>
    <t>apadmin@mailinator.com (CONFIRMED - see Credentials sheet)</t>
  </si>
  <si>
    <t>1. On the login page, click 'Did you forget your password? Click here' (CONFIRMED LIVE exact link text this session).
2. Enter the Admin's email address.
3. Submit the request.</t>
  </si>
  <si>
    <t>A password-reset email is sent (SendGrid is the confirmed email service per the architecture doc). Exact on-page confirmation copy and the reset screen beyond the link are still PLACEHOLDER - not exercised live; confirm at execution.</t>
  </si>
  <si>
    <t>A reset token/link has been issued for the account.</t>
  </si>
  <si>
    <t>A pending submission's marking screen is open with an unsaved Score entered (e.g. Score=7).</t>
  </si>
  <si>
    <t>1. Enter a Comment and a partial Score.
2. Click Reset.
3. Read the confirmation dialog text.
4. Click No/Cancel to abort WITHOUT completing the reset (this action is destructive to real submission data - only click Yes on a disposable/QA submission, never on shared backlog data).</t>
  </si>
  <si>
    <t>TC-ADM-029</t>
  </si>
  <si>
    <t>TC-ADM-028 completed; a reset email has been sent.</t>
  </si>
  <si>
    <t>CONFIRMED LIVE this session: Reset opens a 'Confirmation' modal with the exact text: 'This will reset the assessment. Student will be able to submit the same exercise. Any marking that has been saved will be deleted. Do you want to continue?' with Yes / No / Cancel buttons. This means Reset is NOT a simple form-clear - confirmed behavior is that it deletes any saved marking and reopens the exercise for the student to resubmit. Clicking No or Cancel safely aborts with no change (verified).</t>
  </si>
  <si>
    <t>New password meeting the app's password policy (exact policy PLACEHOLDER - not captured; Azure AD B2C default complexity rules expected).</t>
  </si>
  <si>
    <t>Reset link URL (PLACEHOLDER - delivered via email, not independently captured)</t>
  </si>
  <si>
    <t>1. Open the password-reset email (test inbox, e.g. a mailinator.com address if the Admin account uses one).
2. Click the reset link.
3. Enter and confirm a new password.
4. Submit.
5. Log in with the new password.</t>
  </si>
  <si>
    <t>The password is updated and the Admin can log in with the new password; the old password no longer works.</t>
  </si>
  <si>
    <t>Password changed.</t>
  </si>
  <si>
    <t>TC-TCH-016</t>
  </si>
  <si>
    <t>TC-ADM-030</t>
  </si>
  <si>
    <t>Admin Setup - Users (Student Grid)</t>
  </si>
  <si>
    <t>A pending submission's marking screen is open.</t>
  </si>
  <si>
    <t>Admin &gt; People &gt; Student &gt; Grid (client-side SPA nav - no distinct URL)</t>
  </si>
  <si>
    <t>1. Navigate to People &gt; Student &gt; Grid.
2. Confirm the status tabs New / Active / Inactive / Expired / Obsolete Activation / Paused are present.
3. Confirm the Student criteria filter (All / Paid / Free) is present.
4. Run a search with the default (empty) filter on the 'New' tab.</t>
  </si>
  <si>
    <t>CONFIRMED LIVE this session: the Grid page renders a 'Students' list with the 6 status tabs above, an All/Paid/Free radio filter, a Search Student button, a page-size selector, and a paginated table (Student ID / Email Address / Registration Date / Package / Notes / Action columns). The default 'New' tab showed 'No results found!' for this account at time of verification.</t>
  </si>
  <si>
    <t>1. Open a pending submission.
2. Click Manual Archive.
3. Observe the resulting modal.
4. Enter archive note text (required) or click Cancel to abort without archiving (only complete this on a disposable/QA submission, never on shared backlog data).</t>
  </si>
  <si>
    <t>CONFIRMED LIVE this session: Manual Archive opens an 'Add Archive Note' modal with a required 'Archive Note' textarea (shows 'This field is required.' placeholder) and Archive / Cancel buttons - archiving cannot be completed without entering a note. Exact post-archive effect on the queue (e.g. does the pending count decrement, does it require no Score to be set) not exercised this pass to avoid altering real backlog data - confirm on a disposable submission.</t>
  </si>
  <si>
    <t>TC-ADM-031</t>
  </si>
  <si>
    <t>Admin Setup - Users (Create Student)</t>
  </si>
  <si>
    <t>Example used and CONFIRMED LIVE: First Name "E2E", Last Name "Student0907", Email "e2e.student.260907@mailinator.com", Test Type "PTE Core", Package "PTE Core Silver", Time Zone "(UTC+10:00) Canberra, Melbourne, Sydney", Password/Retype Password "Temp@1234".</t>
  </si>
  <si>
    <t>Admin &gt; People &gt; Student &gt; Create New (client-side SPA nav - no distinct URL)</t>
  </si>
  <si>
    <t>TC-TCH-017</t>
  </si>
  <si>
    <t>1. Navigate to People &gt; Student &gt; Create New.
2. Fill First Name, Last Name, Email Address.
3. Select a Test Type (Exam Type) from the dropdown - options include PTE, PTE Core, IELTS Academic &amp; General, OET (5 sub-variants), TOEFL, IELTS Academic, IELTS General, TOEIC, CELPIP General, CELPIP General LS, GRE, SAT.
4. Select a Package from the dropdown, populated based on the chosen Test Type (for PTE Core: Free, Express $69.00, Express+, Bronze, Silver, Gold).
5. Select a Time Zone.
6. Enter Password and Retype Password.
7. Click Create.</t>
  </si>
  <si>
    <t>Teacher Workflow - Student Access (RBAC)</t>
  </si>
  <si>
    <t>CONFIRMED LIVE this session: the full field list is First Name*, Last Name*, Email Address*, Test Type* (Exam Type dropdown), Package* (dependent dropdown, populated by the chosen Test Type), Time Zone*, Password*, Retype Password* - all required. Submitting shows a 'Processing, please wait...' overlay, then a green 'Data has been saved.' toast and a redirect to the Students grid (New tab). This is the admin-side equivalent of a student 'buying' a package - it grants the selected Package immediately with no real checkout, matching the already-documented Add Package shortcut (TC-ADM-008) but usable at account creation time. Verified end-to-end: searching People &gt; Student &gt; Search for the new email found Student ID E2L-26090750859 with Package 'PTE Core Silver'; Student Detail showed status badge 'New' and a 'Notes' field reading 'Incomplete Post Reg.' (expected for a freshly admin-created account); logging in as the new student with the set password landed on the standard new-student 'Welcome' onboarding wizard (Welcome -&gt; About You -&gt; Skills -&gt; Your Future), confirming the account and password are fully functional.</t>
  </si>
  <si>
    <t>Authenticated as Teacher. A known student exists (e.g. kadaj29422@prorises.com).</t>
  </si>
  <si>
    <t>A new Student record exists with the chosen Package already assigned (Status: New) and can log in immediately with the set password.</t>
  </si>
  <si>
    <t>Teacher &gt; Student (CORRECTED this session: 'Student' is itself the Search Student page - it is a leaf nav item, not a parent with its own 'Search' child, unlike the Mini Mock Test section)</t>
  </si>
  <si>
    <t>TC-ADM-032</t>
  </si>
  <si>
    <t>1. Click 'Student' in the left nav.
2. Enter the student's email/Student ID and click Search.
3. Open the matching Student ID to load the detail view.
4. Enumerate the available actions.
5. Confirm every profile field (including the Test Type dropdown) is greyed out/non-editable and no 'Add Package' action exists anywhere on this page.</t>
  </si>
  <si>
    <t>Admin Setup - Users (Teacher Management)</t>
  </si>
  <si>
    <t>Admin &gt; People &gt; Teacher (client-side SPA nav - no distinct URL)</t>
  </si>
  <si>
    <t>CONFIRMED LIVE this session (re-verified): exactly 4 action buttons plus Cancel are available (View Progress Note, View Login History, View Package Detail, View Consultation); all profile fields including the Test Type dropdown are read-only. Contrasts with the Admin equivalent (which has Add Package nested in View Package Detail and fully editable fields). See TC-TCH-018 to TC-TCH-021 for each individual action - note that two of the four (Progress Note, Consultation) turned out to allow adding new records even though the profile fields themselves are locked, so 'read-only' applies to the student's core profile, not to every one of the four actions.</t>
  </si>
  <si>
    <t>1. Navigate to People &gt; Teacher.
2. Confirm the Active / Suspend tabs are present.
3. Confirm the Teacher list loads with a Search box.</t>
  </si>
  <si>
    <t>CONFIRMED LIVE this session: 'Teacher' is a sibling of Student and Administrators under People (not previously documented). The Active tab shows a table (User Name / Teacher Name / Email Address columns) listing multiple teacher accounts (e.g. Jayteacher / Jay M, ims-teacher / IMS Teacher). A Suspend tab also exists. Note: the previously-verified Teacher login account nacedos274@slotbeer.com was not visible on the first page shown - not confirmed present or absent without paging/searching further.</t>
  </si>
  <si>
    <t>TC-TCH-018</t>
  </si>
  <si>
    <t>TC-ADM-033</t>
  </si>
  <si>
    <t>Admin Setup - Users (Student Detail actions)</t>
  </si>
  <si>
    <t>Student Detail &gt; View Login History (client-side SPA nav - no distinct URL)</t>
  </si>
  <si>
    <t>TC-TCH-017 context (student detail view open).</t>
  </si>
  <si>
    <t>1. From the student record, click View Login History.</t>
  </si>
  <si>
    <t>CONFIRMED LIVE this session: 'View Login History' is a real button on the Student Detail page. Exact fields shown PLACEHOLDER - not itemized this pass; record at first execution.</t>
  </si>
  <si>
    <t>Student Detail &gt; View Progress Note (client-side SPA nav - no distinct URL)</t>
  </si>
  <si>
    <t>1. Click View Progress Note.
2. Observe the panel and grid.
3. Note the 'Add Progress Note' button.</t>
  </si>
  <si>
    <t>TC-ADM-034</t>
  </si>
  <si>
    <t>CONFIRMED LIVE this session: opens a 'Progress Note' panel showing read-only User Name/Student Name/Email Address, plus a grid (Comment / Created By / Created Date columns, search box, pagination) - 'No results found!' for the reference student. An 'Add Progress Note' button IS present, meaning Teachers CAN add new progress notes even though the student's core profile fields are locked - this is a write capability, not purely read-only as the RBAC framing in TC-TCH-017 might suggest in isolation.</t>
  </si>
  <si>
    <t>Student Detail &gt; View Additional Package Detail (client-side SPA nav - no distinct URL)</t>
  </si>
  <si>
    <t>1. From the student record, click View Additional Package Detail.</t>
  </si>
  <si>
    <t>CONFIRMED LIVE this session: 'View Additional Package Detail' is a real button on the Student Detail page, distinct from View Package Detail. Exact content PLACEHOLDER - not itemized this pass.</t>
  </si>
  <si>
    <t>TC-TCH-019</t>
  </si>
  <si>
    <t>TC-ADM-035</t>
  </si>
  <si>
    <t>Student Detail &gt; Share and Earn (client-side SPA nav - no distinct URL)</t>
  </si>
  <si>
    <t>1. Click View Login History.</t>
  </si>
  <si>
    <t>1. From the student record, click Share and Earn.</t>
  </si>
  <si>
    <t>CONFIRMED LIVE this session: 'Share and Earn' is a real button on the Student Detail page - likely the Admin-side view of the E2 Rewards/referral mechanism already cased on the Student tab. Exact content PLACEHOLDER - not itemized this pass.</t>
  </si>
  <si>
    <t>CORRECTED this session: this does NOT open a login-events history list as previously assumed. It opens a 'Student Login Streak' panel showing a single read-only 'Login Streak' numeric field (value 1 for the reference student) and a Close button. The button label is misleading relative to its actual content - worth flagging to the product team as a possible naming inconsistency.</t>
  </si>
  <si>
    <t>TC-ADM-036</t>
  </si>
  <si>
    <t>TC-TCH-020</t>
  </si>
  <si>
    <t>Student Detail &gt; View Notes (client-side SPA nav - no distinct URL)</t>
  </si>
  <si>
    <t>1. From the student record, click View Notes.</t>
  </si>
  <si>
    <t>CONFIRMED LIVE this session: 'View Notes' is a real button on the Student Detail page (the Student Detail form also has its own read-only 'Notes' field above the button row). Exact content PLACEHOLDER.</t>
  </si>
  <si>
    <t>TC-ADM-037</t>
  </si>
  <si>
    <t>1. Click View Package Detail.
2. Compare the columns/controls shown against the Admin-side equivalent (TC-ADM-009).</t>
  </si>
  <si>
    <t>Student Detail &gt; View Survey (client-side SPA nav - no distinct URL)</t>
  </si>
  <si>
    <t>CONFIRMED LIVE this session: opens the same 'Student Package' table as Admin (Exam Type / Package / Organization / Status columns), matching whatever Admin has assigned (cross-check with TC-ADM-009 / TC-E2E-002) - PTE Core / Silver / E2Language / Active for the reference student. CORRECTION/RBAC contrast confirmed: unlike the Admin view, there is NO Action column (no cart/org-tree icons) and NO Add Package button - only a Close button, confirming this is genuinely read-only on the Teacher side.</t>
  </si>
  <si>
    <t>1. From the student record, click View Survey.</t>
  </si>
  <si>
    <t>CONFIRMED LIVE this session: 'View Survey' is a real button on the Student Detail page. Exact content PLACEHOLDER - not itemized this pass.</t>
  </si>
  <si>
    <t>TC-ADM-038</t>
  </si>
  <si>
    <t>TC-TCH-021</t>
  </si>
  <si>
    <t>Student Detail &gt; Student Consultation (client-side SPA nav - no distinct URL)</t>
  </si>
  <si>
    <t>1. From the student record, click Student Consultation.</t>
  </si>
  <si>
    <t>CONFIRMED LIVE this session: 'Student Consultation' is a real button on the Student Detail page - likely related to the Teacher-side consultation record already cased on the Teacher tab (TC-TCH read-only consultation view). Exact content PLACEHOLDER - not itemized this pass.</t>
  </si>
  <si>
    <t>Student Detail &gt; View Consultation (client-side SPA nav - no distinct URL)</t>
  </si>
  <si>
    <t>1. Click View Consultation.
2. Observe the panel and grid.
3. Note the 'Assign Consultation' button.</t>
  </si>
  <si>
    <t>CONFIRMED LIVE this session: opens a 'View Consultations' panel with a grid (Type / Appointment Date / Time / Status columns) - 'No results found!' for the reference student - plus an 'Assign Consultation' button. Like Progress Note, this is a write capability (Teachers can assign new consultations), not purely a read-only view; exact Assign Consultation form fields PLACEHOLDER - not exercised this pass.</t>
  </si>
  <si>
    <t>TC-ADM-039</t>
  </si>
  <si>
    <t>Admin Setup - Users (Admin-triggered Reset Password)</t>
  </si>
  <si>
    <t>TC-ADM-007 completed (student record open). Use a disposable/QA test student only.</t>
  </si>
  <si>
    <t>Student Detail &gt; Reset Password (client-side SPA nav - no distinct URL)</t>
  </si>
  <si>
    <t>1. From the student record, click Reset Password.
2. Observe the confirmation/effect.</t>
  </si>
  <si>
    <t>TC-TCH-022</t>
  </si>
  <si>
    <t>Teacher Workflow - Live Class</t>
  </si>
  <si>
    <t>Teacher &gt; Live Class Assessment (page title: 'Live Class Task'; client-side SPA nav - no distinct URL)</t>
  </si>
  <si>
    <t>1. Navigate to Live Class Assessment.
2. Confirm the Exam Type Code filter (defaults to ALL) and the grid (Name / Exam Type Code / Action / Status columns).
3. Toggle a task's On/Off switch.
4. Click 'View Url' on a task to retrieve its deep link.</t>
  </si>
  <si>
    <t>CONFIRMED LIVE this session: 'Reset Password' is a real Admin-triggered action on the Student Detail page (distinct from the student's own self-service forgot-password flow). Exact effect (does it email the student, show a temp password, or require a follow-up step) PLACEHOLDER - not exercised this pass to avoid disrupting the shared reference student account; confirm on a disposable account first.</t>
  </si>
  <si>
    <t>CONFIRMED LIVE this session, with a correction: the grid lists 5 tasks (Live Class 1-5: Writing Task 1, all IELTS General); Live Class 5 was Off, the other 4 On. View Url for Live Class 1 returned https://azdopl-rc-main.e2language.com/Student/LiveClassMockTestAssessment/StartPage?activityId=50392 in a 'View Url' modal (Copy Url / Cancel buttons). CORRECTION to the earlier assumption: this is NOT a Zoom meeting join link - the URL pattern ('LiveClassMockTestAssessment/StartPage?activityId=...') matches the same Activity-URL deep-link style used elsewhere in the app (e.g. Admin &gt; Marketing Tools &gt; Activity URL), i.e. it opens a graded writing activity page tied to the live class, not a video-call join screen. The toggle's visual state persists across a page reload (not independently re-verified this pass to avoid altering shared config).</t>
  </si>
  <si>
    <t>TC-ADM-040</t>
  </si>
  <si>
    <t>Admin Setup - Users (Destructive - Delete Student)</t>
  </si>
  <si>
    <t>A disposable/QA-created student test account (NOT the shared reference student).</t>
  </si>
  <si>
    <t>Student Detail &gt; Delete Student (client-side SPA nav - no distinct URL)</t>
  </si>
  <si>
    <t>1. Create a throwaway student via People &gt; Student &gt; Create New (or Student-side Registration).
2. Open its Student Detail record.
3. Click Delete Student.
4. Confirm the action if prompted.</t>
  </si>
  <si>
    <t>TC-TCH-023</t>
  </si>
  <si>
    <t>CONFIRMED LIVE this session: 'Delete Student' is a real destructive action (styled red) on the Student Detail page, alongside Reset Password (also styled red) and Cancel. NEVER execute this against the shared reference student (kadaj29422@prorises.com, used across many other test cases in this suite) - use only a disposable account created specifically for this case. Exact confirmation dialog/effect PLACEHOLDER - not exercised this pass.</t>
  </si>
  <si>
    <t>The student account no longer exists / is marked deleted.</t>
  </si>
  <si>
    <t>Teacher Workflow - Invoice</t>
  </si>
  <si>
    <t>Billing Period = any listed option; GST Apply = unchecked (default).</t>
  </si>
  <si>
    <t>TC-ADM-041</t>
  </si>
  <si>
    <t>Teacher &gt; Invoice &gt; Submit Invoice (client-side SPA nav - no distinct URL)</t>
  </si>
  <si>
    <t>Admin Setup - Users (Create Teacher)</t>
  </si>
  <si>
    <t>1. Navigate to Invoice &gt; Submit Invoice.
2. Confirm First Name/Last Name/Level/Email Address are pre-filled and read-only from the logged-in account.
3. Optionally enter an ABN.
4. Select a Billing Period (required).
5. Optionally check GST Apply.
6. Click Generate.</t>
  </si>
  <si>
    <t>Example used and CONFIRMED LIVE: First Name "E2E", Last Name "Teacher0907", Email "e2e.teacher.260907@mailinator.com", Time Zone "(UTC+10:00) Canberra, Melbourne, Sydney", Role Name "Teacher", Exam Type Code "PTE Core", User Name "e2e.teacher.260907", Password/Retype Password "Temp@1234".</t>
  </si>
  <si>
    <t>Admin &gt; People &gt; Teacher &gt; "+" (appended after the last row of the Teachers grid, below pagination - NOT a "Create New" nav item the way Student has; client-side SPA nav, no distinct URL)</t>
  </si>
  <si>
    <t>CONFIRMED LIVE this session, exact fields: First Name 'Bob', Last Name 'Teacher', Level 'Master Tutor', Email Address nacedos274@slotbeer.com (all pre-filled/read-only), ABN (optional free text), Billing Period (required dropdown, placeholder 'Please select Billing Period'), Invoice # (read-only/auto), GST Apply (checkbox), and a Generate button. NOTE: Admin also has an Invoice &gt; Tutor Pricing/Invoice History area (see TC-ADM-026) - whether Teacher-submitted invoices flow through to that Admin view was not independently verified; confirm at execution.</t>
  </si>
  <si>
    <t>1. Navigate to People &gt; Teacher.
2. Scroll to the bottom of the Teachers grid past the pagination controls and click the "+" button to reveal the Create Teacher form.
3. Fill First Name, Last Name, Email Address.
4. Select a Time Zone.
5. Check a Role Name (Teacher and/or Duty Tutor) - selecting "Teacher" reveals an additional "Tutor Level" dropdown (defaults to "Tutor").
6. Optionally check "Using Zoom Meeting" under Online Meeting.
7. Under Teacher Classification &gt; Exam Type Code, check one or more exam types (PTE, PTE Core, IELTS Academic &amp; General, TOEFL, 5 OET sub-variants, IELTS Academic, IELTS General, TOEIC, CELPIP General, CELPIP General LS, GRE, SAT) - checking certain types (e.g. PTE Core) reveals nested sub-checkboxes (Study Plan, Pre-Test Strategy Session, Post-Test Consultation).
8. Fill Account &gt; User Name, Password, Retype Password.
9. Click Create.</t>
  </si>
  <si>
    <t>CONFIRMED LIVE this session, with a real defect found: on the FIRST click of Create, the button's click handler threw an uncaught client-side exception ("TypeError: Illegal constructor", inside AdministratorTeacherCreate.PrepareSubmitData in bundles/sbadmin-administrator-js) and silently failed - no network request was sent (confirmed via the browser's network panel) and no error was shown to the user; the form just sat there unchanged, which would read as a hung or ignored click to a real admin. Clicking Create a SECOND time with the identical, already-filled form succeeded with no exception: a 'Processing, please wait...' style flow completed and the page redirected into the new record's Edit Teacher view, with User Name now locked (read-only) and all other fields retained. This is a genuine, reproducible-looking bug worth its own report (silent no-op on first submit) - at execution, always verify via a grid search (or the account's own login) that a Create actually took effect, don't trust the absence of a network error as proof the first click worked. Verified end-to-end: People &gt; Teacher search for "e2e.teacher" found exactly one row (e2e.teacher.260907 / E2E Teacher0907 / e2e.teacher.260907@mailinator.com) - confirming the first failed click did not create a silent duplicate; logging in as the new teacher with the set password landed on Teacher Home.</t>
  </si>
  <si>
    <t>TC-TCH-024</t>
  </si>
  <si>
    <t>A new Teacher record exists with the chosen Exam Type Code classification and Role Name, and can log in immediately with the set password. May require clicking Create twice due to the first-click defect above - do not assume failure from an unchanged screen without checking the grid.</t>
  </si>
  <si>
    <t>Billing Period = any listed option.</t>
  </si>
  <si>
    <t>TC-ADM-042</t>
  </si>
  <si>
    <t>Admin/Teacher/Student</t>
  </si>
  <si>
    <t>Teacher &gt; Invoice &gt; Invoice History (client-side SPA nav - no distinct URL)</t>
  </si>
  <si>
    <t>Admin Setup - Users (Teacher/Student course linkage)</t>
  </si>
  <si>
    <t>1. Navigate to Invoice &gt; Invoice History.
2. Select a Billing Period.
3. Confirm the Teacher field is locked to the logged-in account.
4. Click View Invoice.</t>
  </si>
  <si>
    <t>TC-ADM-031 (Create Student) and TC-ADM-041 (Create Teacher) completed, both classified under the same exam type (e.g. PTE Core).</t>
  </si>
  <si>
    <t>e2e.teacher.260907@mailinator.com (PTE Core) and e2e.student.260907@mailinator.com (PTE Core / PTE Core Silver) - CONFIRMED LIVE this session.</t>
  </si>
  <si>
    <t>N/A (a cross-cutting verification, not a single screen)</t>
  </si>
  <si>
    <t>CORRECTED this session: Invoice History is NOT a direct list of past invoices as previously assumed - it is a filter form with a required Billing Period dropdown and a Teacher dropdown pre-locked to the logged-in account ('Bob Teacher (nacedos274@slotbeer.com)'), plus a 'View Invoice' button that presumably renders the invoice for the selected period. The rendered invoice content/format was not exercised this pass - confirm at execution alongside TC-TCH-023.</t>
  </si>
  <si>
    <t>1. Create (or identify) a Teacher classified under a given Exam Type Code (e.g. PTE Core).
2. Create (or identify) a Student whose Test Type/Package falls under that same Exam Type (e.g. PTE Core Silver).
3. Log in as the Teacher and open the Assessment queue / Mock Test Assessment dashboard tile.
4. Compare the counts/queue shown against those of another, unrelated teacher already classified under the same exam type.</t>
  </si>
  <si>
    <t>CONFIRMED LIVE this session: there is NO direct one-to-one 'assign this Teacher to this Student' field anywhere in Admin. Linkage in this app is exam-type-scoped, not an explicit roster relationship - a Teacher is linked to a course only via Teacher Classification &gt; Exam Type Code (Create/Edit Teacher), and a Student is linked to a course only via its Test Type + Package. Proof: logging in as the brand-new, zero-history e2e.teacher.260907 (PTE Core) showed the IDENTICAL Teacher Home dashboard counts (Writing 130, Speaking 24, Mock Test Assessment 19) as the long-established reference teacher account (nacedos274@slotbeer.com), meaning the marking queue is shared across every teacher classified under an exam type rather than filtered to a specific teacher-student pairing. Treat 'this teacher teaches this student' as an exam-type-level statement, not a literal roster fact, when writing further test cases against this relationship - and if a true 1:1 roster assignment is later found elsewhere in the app, this case's expected result should be revisited.</t>
  </si>
  <si>
    <t>N/A - informational/architectural verification.</t>
  </si>
  <si>
    <t>TC-TCH-025</t>
  </si>
  <si>
    <t>Teacher Workflow - Reporting</t>
  </si>
  <si>
    <t>Start Date / End Date defaulting to the current calendar month.</t>
  </si>
  <si>
    <t>Teacher &gt; Teaching Summary (client-side SPA nav - no distinct URL)</t>
  </si>
  <si>
    <t>1. Navigate to Teaching Summary.
2. Confirm Start Date and End Date default to the 1st and last day of the current month.
3. Click 'View Data as Table'.</t>
  </si>
  <si>
    <t>CONFIRMED LIVE this session: Start Date/End Date fields default to the current month (01-Sep-2026 to 30-Sep-2026 at time of testing); clicking 'View Data as Table' renders a two-column table (Name / Qty) below the filter - showed 'No data.' for this teacher this month, consistent with the empty Scheduler. The table took a few seconds to resolve (not one of the confirmed 'never resolves' grids from the Admin findings, just slower than most pages).</t>
  </si>
  <si>
    <t>TC-TCH-026</t>
  </si>
  <si>
    <t>Teacher Workflow - Assessment Queues</t>
  </si>
  <si>
    <t>Teacher &gt; Mini Mock Test &gt; Assessment &gt; Search; Teacher &gt; Mini Mock Test &gt; Appointment &gt; Search; Teacher &gt; Speaking Intensive (all client-side SPA nav - no distinct URLs)</t>
  </si>
  <si>
    <t>1. Navigate to Mini Mock Test - confirm it expands to two sub-sections, Assessment (with its own Search) and Appointment (with its own Search).
2. Open Mini Mock Test &gt; Assessment &gt; Search and note its filter fields.
3. Navigate to Speaking Intensive and note its filter fields.
4. Confirm these are structurally distinct from the main combined Assessment queue (TC-TCH-006/008/012).</t>
  </si>
  <si>
    <t>CONFIRMED LIVE this session: Mini Mock Test &gt; Assessment &gt; Search is titled 'Search Mock Test Assessment' with a Keyword field, a REQUIRED Exam Type dropdown (defaults unselected - this is the exact mechanism behind the known dashboard/list mismatch defect in TC-TCH-006), a Date Range (defaults 01-Jan-2026 to today), and results columns Email Address / Package / Submitted Date / Marked Date. Speaking Intensive has Active/Completed tabs, an Exam Type Code filter (also defaults unselected), and columns Email Address / Title / Package / Appointment Time. Both were empty for this teacher and both are structurally distinct nav items from the main Assessment queue and from each other.</t>
  </si>
  <si>
    <t>TC-TCH-027</t>
  </si>
  <si>
    <t>Teacher Workflow - Group Class (RBAC)</t>
  </si>
  <si>
    <t>Teacher &gt; Group Class (client-side SPA nav - no distinct URL)</t>
  </si>
  <si>
    <t>1. Navigate to Group Class.
2. Confirm the Active/Archived tabs and the grid columns.
3. Confirm whether a '+'/Add control is present.</t>
  </si>
  <si>
    <t>CONFIRMED LIVE this session (re-verified): Group Class has Active/Archived tabs and a grid (Topic / Quota / Time &amp; Date / Action columns); 'No results found!' on the Active tab for this teacher. Confirmed: the Teacher's Group Class view has no creation control (read-only) anywhere on the page. NOTE: whether the Admin-side Group Class view has a create button was not verified (Admin &gt; Group Class was only observed to be empty, not specifically checked for a + control) - do not assume Admin behavior from this case alone.</t>
  </si>
  <si>
    <t>TC-TCH-028</t>
  </si>
  <si>
    <t>Teacher Workflow - Search</t>
  </si>
  <si>
    <t>E2E Test Suite — Coverage Dashboard</t>
  </si>
  <si>
    <t>A known student email, e.g. kadaj29422@prorises.com.</t>
  </si>
  <si>
    <t>Teacher &gt; Student (CORRECTED this session: 'Student' itself is the Search Student page - client-side SPA nav, no distinct URL)</t>
  </si>
  <si>
    <t>1. Click 'Student' in the left nav.
2. Search by the known student's email.</t>
  </si>
  <si>
    <t>CONFIRMED LIVE this session: the matching student record (E2L-26090274074, kadaj29422@prorises.com, PTE Core Silver) is returned in a Student ID/Email Address/Package results table, identical in structure to the Admin-side Search Student page.</t>
  </si>
  <si>
    <t>All counts are live formulas over the Admin/Teacher/Student/Mobile tabs - will update automatically if rows are added, removed, or Status is changed.</t>
  </si>
  <si>
    <t>TC-E2E-002</t>
  </si>
  <si>
    <t>Test Cases by Role</t>
  </si>
  <si>
    <t>Cross-Role E2E Flow (leg 2 of 6)</t>
  </si>
  <si>
    <t>TC-E2E-001 completed. Teacher authenticated (TC-TCH-001).</t>
  </si>
  <si>
    <t>Teacher &gt; Student &gt; Search (exact URL PLACEHOLDER)</t>
  </si>
  <si>
    <t>1. Search for the same student.
2. Open View Package Detail from the Teacher's (read-only) student detail view.</t>
  </si>
  <si>
    <t>The package shown matches what Admin assigned in TC-E2E-001, confirming the Admin-side change is visible from the Teacher's read-only view.</t>
  </si>
  <si>
    <t>Cross-role data consistency confirmed. Feeds TC-E2E-003.</t>
  </si>
  <si>
    <t>Count</t>
  </si>
  <si>
    <t>TC-E2E-004</t>
  </si>
  <si>
    <t>Cross-Role E2E Flow (leg 4 of 6)</t>
  </si>
  <si>
    <t>TC-E2E-003 completed; the new submission appears in the Teacher's queue.</t>
  </si>
  <si>
    <t>https://azdopl-rc-adminapp.e2language.com/Teacher/Home -&gt; Writing or Speaking queue</t>
  </si>
  <si>
    <t>1. Open the new submission (per TC-TCH-008 / TC-TCH-012 grading steps).
2. Complete the Supervisor Score panel.
3. Set the overall Score and Recommendation.
4. Click Submit Score.</t>
  </si>
  <si>
    <t>The score is saved; the pending count decrements by 1; the submission is now graded.</t>
  </si>
  <si>
    <t>A graded score/feedback record exists for the student. Feeds TC-E2E-005.</t>
  </si>
  <si>
    <t>TC-TCH-029</t>
  </si>
  <si>
    <t>Teacher account exists (nacedos274@slotbeer.com); no active session.</t>
  </si>
  <si>
    <t>https://azdopl-rc-adminapp.e2language.com/Account/Login (Forgot Password link expected here, per Azure AD B2C's standard password-reset user flow)</t>
  </si>
  <si>
    <t>1. On the login page, click the 'Did you forget your password? Click here' link (exact text CONFIRMED live during the Admin verification pass - Teacher shares the identical Azure AD B2C login screen, so the same link text applies; not re-clicked separately for Teacher this session).
2. Enter the Teacher's email address.
3. Submit the request.</t>
  </si>
  <si>
    <t>A password-reset email is sent (SendGrid confirmed email service). Exact confirmation copy PLACEHOLDER.</t>
  </si>
  <si>
    <t>TC-TCH-030</t>
  </si>
  <si>
    <t>TC-TCH-029 completed; a reset email has been sent.</t>
  </si>
  <si>
    <t>New password meeting the app's password policy (PLACEHOLDER - not captured).</t>
  </si>
  <si>
    <t>Reset link URL (PLACEHOLDER - delivered via email)</t>
  </si>
  <si>
    <t>1. Open the password-reset email.
2. Click the reset link.
3. Enter and confirm a new password.
4. Submit.
5. Log in with the new password, then reset back to Temp@1234 to keep the shared test credential valid for other cases in this suite.</t>
  </si>
  <si>
    <t>The password is updated and the Teacher can log in with the new password; the old password no longer works.</t>
  </si>
  <si>
    <t>Password changed (reset back to the shared test credential afterward).</t>
  </si>
  <si>
    <t>TC-TCH-031</t>
  </si>
  <si>
    <t>Account &amp; Security - Profile Settings</t>
  </si>
  <si>
    <t>Student</t>
  </si>
  <si>
    <t>Teacher &gt; User Profile (exact URL PLACEHOLDER)</t>
  </si>
  <si>
    <t>1. Open the account menu &gt; User Profile.
2. Review/edit profile fields (exact fields PLACEHOLDER - not captured; the 'User Profile' link was observed live in the Teacher account menu, its contents were not opened).
3. Save.</t>
  </si>
  <si>
    <t>Profile changes are saved. Exact editable fields not independently verified - confirm at execution.</t>
  </si>
  <si>
    <t>Test Cases by Type</t>
  </si>
  <si>
    <t>Test Cases by Execution Type</t>
  </si>
  <si>
    <t>Manual</t>
  </si>
  <si>
    <t>Test Cases by Priority</t>
  </si>
  <si>
    <t>Test Case Title</t>
  </si>
  <si>
    <t>TC-STU-001</t>
  </si>
  <si>
    <t>Verify that the user should be able to log in with valid student credentials</t>
  </si>
  <si>
    <t>Valid E2 Language Student test account/environment on a desktop browser (latest stable Chrome/Firefox/Safari/Edge). Reference account seen from the Teacher side: kadaj29422@prorises.com (package 'PTE Core Silver') - password PLACEHOLDER, not captured; alternatively use a student created via TC-STU-007 (fresh Registration) with a known password.</t>
  </si>
  <si>
    <t>PRIMARY (confirmed working): e2e.stu.gold.260908@mailinator.com / TestPass123! - PTE Core Gold account, live-verified this pass (see Credentials &amp; Test Data &gt; Student Test Accounts). Reference only (password unconfirmed - do not rely on it): kadaj29422@prorises.com - the 'P@ssw0rd' value previously shown for this account in the Credentials sheet was never actually verified and has been corrected there.</t>
  </si>
  <si>
    <t>https://azdopl-rc-adminapp.e2language.com/Account/Login (shared Azure AD B2C login; resolves to the Student app at https://azdopl-rc-main.e2language.com once authenticated as a Student-scoped account)</t>
  </si>
  <si>
    <t>1. Navigate to the shared login URL (log out of any other role first).
2. Enter the Student credentials.
3. Click Login/Sign In.</t>
  </si>
  <si>
    <t>Authenticates successfully and redirects to the Student dashboard on azdopl-rc-main.e2language.com (exact landing route PLACEHOLDER - see Dashboard URLs sheet).</t>
  </si>
  <si>
    <t>An authenticated Student session exists for subsequent Student test cases.</t>
  </si>
  <si>
    <t>Passed</t>
  </si>
  <si>
    <t>TC-STU-002</t>
  </si>
  <si>
    <t>Verify that the user should not be able to log in with an incorrect password</t>
  </si>
  <si>
    <t>Username = a valid student email; Password = WrongPass!1 (deliberately incorrect)</t>
  </si>
  <si>
    <t>1. Navigate to the shared login URL.
2. Enter a valid student email with an incorrect password.
3. Click Login/Sign In.</t>
  </si>
  <si>
    <t>Login is rejected with an on-page error; no redirect to the Student dashboard occurs.</t>
  </si>
  <si>
    <t>TC-STU-003</t>
  </si>
  <si>
    <t>Verify that the user should be able to log out and end the session</t>
  </si>
  <si>
    <t>Authenticated as Student (TC-STU-001 completed).</t>
  </si>
  <si>
    <t>1. From the Student dashboard, open the account menu and click Logout.
2. Attempt to navigate directly back to the Student dashboard.</t>
  </si>
  <si>
    <t>Session ends; navigating back requires re-authentication.</t>
  </si>
  <si>
    <t>TC-STU-004</t>
  </si>
  <si>
    <t>Verify that the user's Student session should remain scoped when navigating to the Teacher/Admin host</t>
  </si>
  <si>
    <t>Authenticated as Student without logging out.</t>
  </si>
  <si>
    <t>https://azdopl-rc-adminapp.e2language.com/Teacher/Home (or the Admin host), while a Student session is active</t>
  </si>
  <si>
    <t>1. While authenticated as Student, navigate directly to the Teacher or Admin host without using Logout first.
2. Observe the resulting page.</t>
  </si>
  <si>
    <t>Per the confirmed SSO-scope mechanism (reproduced live this session with a Teacher session), the existing Student session should be honored rather than silently switching roles or exposing Teacher/Admin content - the exact resulting page for a Student-scoped session hitting the adminapp host was not independently reproduced; record actual behavior at execution.</t>
  </si>
  <si>
    <t>Original Student session remains active.</t>
  </si>
  <si>
    <t>Test Cases by Status</t>
  </si>
  <si>
    <t>TC-STU-005</t>
  </si>
  <si>
    <t>Verify that the user should be able to navigate to every item on the Student dashboard</t>
  </si>
  <si>
    <t>Student Dashboard</t>
  </si>
  <si>
    <t>Valid E2 Language Student test account/environment on a desktop browser (latest stable Chrome/Firefox/Safari/Edge).</t>
  </si>
  <si>
    <t>Exam context example: IELTS Academic (or whichever exam type the account is on).</t>
  </si>
  <si>
    <t>Student dashboard (exact route PLACEHOLDER - see Dashboard URLs sheet)</t>
  </si>
  <si>
    <t>1. Log in as a student.
2. Click through each navigation menu item for the student's exam context.
3. Confirm each destination page loads correctly.</t>
  </si>
  <si>
    <t>Every navigation menu item is reachable and redirects to the correct corresponding page with no dead links or errors. (Source: existing verified case TC-D078 in E2_Language_Regression_Test_Cases_v2.xlsx.)</t>
  </si>
  <si>
    <t>TC-STU-006</t>
  </si>
  <si>
    <t>Verify that a new student should be able to complete the onboarding checklist</t>
  </si>
  <si>
    <t>Student Workflow - Onboarding</t>
  </si>
  <si>
    <t>Valid E2 Language Student test account/environment on a desktop browser (latest stable Chrome/Firefox/Safari/Edge). New free student account.</t>
  </si>
  <si>
    <t>Student onboarding checklist (exact URL PLACEHOLDER)</t>
  </si>
  <si>
    <t>1. Log in as a new free student.
2. Open the onboarding checklist.
3. Complete each onboarding task.
4. Check the recent score/summary view.</t>
  </si>
  <si>
    <t>All onboarding tasks can be submitted successfully and the recent score is displayed correctly afterward. (Source: existing verified case TC-D153 in E2_Language_Regression_Test_Cases_v2.xlsx.)</t>
  </si>
  <si>
    <t>TC-STU-007</t>
  </si>
  <si>
    <t>Verify that the user should be able to register and pay for a new PTE account (card approved)</t>
  </si>
  <si>
    <t>Student Workflow - Registration</t>
  </si>
  <si>
    <t>No existing account for the test email.</t>
  </si>
  <si>
    <t>Fresh unique email on the confirmed-safe @mailinator.com domain; examTypeCode=PTE, packageCode=PTE_PaidV2_02; card 1 / CVV 123 / any future expiry.</t>
  </si>
  <si>
    <t>https://azdopl-rc-registrationapp.e2language.com/Registration/SignUp?examTypeCode=PTE&amp;packageCode=PTE_PaidV2_1&amp;state=</t>
  </si>
  <si>
    <t>1. Navigate directly to the canonical registration deep link.
2. Complete the registration form (exact field list PLACEHOLDER - not itemized in findings; standard fields expected: name, email, password, confirm password).
3. Submit to reach the Payment Information page.
4. Select 'Credit/debit card' and click 'Pay with Card'.
5. On the Shopify-hosted checkout, enter card 1, CVV 123, any future expiry.
6. Complete checkout.</t>
  </si>
  <si>
    <t>Payment is approved (card 1 = approved, confirmed convention); a new student account is created on the PTE / PaidV2 package and lands on the Student dashboard.</t>
  </si>
  <si>
    <t>A new paid PTE student account exists - usable as a precondition for downstream Upgrade / Extend / Switch Course / Add-on cases and for the E2E chain.</t>
  </si>
  <si>
    <t>TC-STU-008</t>
  </si>
  <si>
    <t>Verify that the user should not be able to register with a disposable/blocklisted email domain</t>
  </si>
  <si>
    <t>Email on a blocked domain, e.g. name@mailinator.net (contrast: name@mailinator.com is allowed).</t>
  </si>
  <si>
    <t>https://signup.e2language.com/Registration/SignUp?examTypeCode=PTE&amp;packageCode=PTE_PaidV2_02</t>
  </si>
  <si>
    <t>1. Navigate to the registration deep link.
2. Enter an email on the mailinator.net domain.
3. Attempt to submit.</t>
  </si>
  <si>
    <t>Registration is rejected with a domain-validation error, per the confirmed 'Email Domain Validation: On' flag and blocklist. The same flow with a mailinator.com address should succeed for comparison.</t>
  </si>
  <si>
    <t>TC-STU-009</t>
  </si>
  <si>
    <t>Verify that the user's registration payment should be declined with test card 2</t>
  </si>
  <si>
    <t>Student Workflow - Payment</t>
  </si>
  <si>
    <t>Failed</t>
  </si>
  <si>
    <t>Same as TC-STU-007 up through reaching the Payment Information page.</t>
  </si>
  <si>
    <t>Card 2, CVV 123, any future expiry.</t>
  </si>
  <si>
    <t>Shopify-hosted checkout (https://e2-staging-store.myshopify.com)</t>
  </si>
  <si>
    <t>1. Reach the Payment Information page.
2. Choose 'Credit/debit card'.
3. Enter card 2.
4. Submit.</t>
  </si>
  <si>
    <t>Payment is declined (confirmed convention); no package is granted; the student sees a decline message with an option to retry.</t>
  </si>
  <si>
    <t>TC-STU-010</t>
  </si>
  <si>
    <t>Verify that the user's registration payment should fail at the gateway with test card 3</t>
  </si>
  <si>
    <t>Card 3, CVV 123, any future expiry.</t>
  </si>
  <si>
    <t>1. Reach the Payment Information page.
2. Choose 'Credit/debit card'.
3. Enter card 3.
4. Submit.</t>
  </si>
  <si>
    <t>A gateway-failure state is surfaced, distinct from the plain 'declined' message in TC-STU-009 (confirmed 3-way convention: 1 approved / 2 declined / 3 gateway failure).</t>
  </si>
  <si>
    <t>Blocked</t>
  </si>
  <si>
    <t>TC-STU-011</t>
  </si>
  <si>
    <t>Verify that the user should be able to see both Credit/Debit Card and PayPal on the Payment page</t>
  </si>
  <si>
    <t>Any transaction flow that reaches the Payment Information page.</t>
  </si>
  <si>
    <t>Payment Information page (URL varies by entry flow)</t>
  </si>
  <si>
    <t>1. Reach the Payment Information page via any transaction flow.
2. Confirm the 'Choose Payment Method' group shows both 'Credit/debit card'</t>
  </si>
  <si>
    <t>Only debit card should be displayed in the payment information page</t>
  </si>
  <si>
    <t>Totals</t>
  </si>
  <si>
    <t>TC-STU-012</t>
  </si>
  <si>
    <t>Total Test Cases</t>
  </si>
  <si>
    <t>Verify that a free student should be able to switch course at no cost</t>
  </si>
  <si>
    <t>Switch Course</t>
  </si>
  <si>
    <t>Valid E2 Language student test account/environment on a desktop browser (latest stable Chrome/Firefox/Safari/Edge). Student is on a free package.</t>
  </si>
  <si>
    <t>Free student account; destination course = PTE (from IELTS)</t>
  </si>
  <si>
    <t xml:space="preserve">Exact URL PLACEHOLDER - reached via in-app navigation described in Steps (Header menu, My </t>
  </si>
  <si>
    <t>Objective: Free student successfully switches course at no cost
1. Navigate to Header &gt; Switch My Course.
2. Select a different exam family (e.g. IELTS -&gt; PTE).
3. Choose 'No' on the 'Do you want to upgrade?' prompt.
4. Click Convert Course Now!
5. View the Confirmation Page.
6. Click Go to Classroom.</t>
  </si>
  <si>
    <t>The course switch completes at no cost (no Payment Page shown), and the student lands on the Dashboard for the new course.
Automation note: Deterministic, no payment involved - safe to automate as written.</t>
  </si>
  <si>
    <t>State change per Expected Result above (package/course/voucher applied) where the case is a positive path; N/A for read-only/negative cases.</t>
  </si>
  <si>
    <t>Executed So Far (Passed+Failed+Blocked)</t>
  </si>
  <si>
    <t>TC-STU-013</t>
  </si>
  <si>
    <t>Verify that a paid student should be able to switch course by paying the destination fee</t>
  </si>
  <si>
    <t>Valid E2 Language student test account/environment on a desktop browser (latest stable Chrome/Firefox/Safari/Edge). Student is on a paid package.</t>
  </si>
  <si>
    <t>Paid student account; destination course differs from current</t>
  </si>
  <si>
    <t>Pass Rate (of executed)</t>
  </si>
  <si>
    <t>Objective: Paid student successfully switches course and pays the destination-course fee
1. Navigate to Header &gt; Switch My Course.
2. Select a different exam family.
3. Click Convert Course Now!
4. View the Payment Page and complete payment (Shopify test card 1 = approved).
5. View the Confirmation Page.
6. Click Go to Classroom.</t>
  </si>
  <si>
    <t>Payment is required and its amount varies by destination course; on success the student lands on the Dashboard for the new course with the equivalent package tier.
Automation note: Pricing is course-specific and not otherwise documented - confirm the exact expected charge with product/finance before asserting an amount.</t>
  </si>
  <si>
    <t>TC-STU-014</t>
  </si>
  <si>
    <t>Verify that the user should be able to switch course and upgrade the package in a single transaction</t>
  </si>
  <si>
    <t>Valid E2 Language student test account/environment on a desktop browser (latest stable Chrome/Firefox/Safari/Edge). Student is on a lower-tier package (e.g. IELTS Bronze).</t>
  </si>
  <si>
    <t>Example: IELTS Bronze -&gt; PTE Gold</t>
  </si>
  <si>
    <t>Objective: Switch Course and Upgrade combines a course change with a package tier upgrade
1. Navigate to Header &gt; Switch My Course.
2. Select a different exam family.
3. Choose 'Yes' / select a higher tier during package selection.
4. View the Payment Page and complete payment.
5. View the Confirmation Page.
6. Click Go to Classroom.</t>
  </si>
  <si>
    <t>The student switches course AND upgrades tier in a single transaction, charged per standard Upgrade pricing rules (F2P = full price, P2P = price difference).
Automation note: Combines two business rules (switch + F2P/P2P pricing) - verify the charged amount matches the P2P price-difference calc, not the full destination price.</t>
  </si>
  <si>
    <t>TC-STU-015</t>
  </si>
  <si>
    <t>Verify that the user should not be able to complete Switch Course when payment is declined</t>
  </si>
  <si>
    <t>Valid E2 Language student test account/environment on a desktop browser (latest stable Chrome/Firefox/Safari/Edge). Student is on a paid package, mid Paid Switch Course flow.</t>
  </si>
  <si>
    <t>Shopify test card 2 (declined)</t>
  </si>
  <si>
    <t>Objective: Switch Course payment failure leaves the student on their original course
1. Start a Paid Switch Course.
2. On the Payment Page, submit a declined test card (Shopify test card 2).
3. Observe the result.</t>
  </si>
  <si>
    <t>The course switch does not apply; the student remains on their original course and is returned to the Payment Page to retry.
Automation note: Deterministic negative-path check.</t>
  </si>
  <si>
    <t>TC-STU-016</t>
  </si>
  <si>
    <t>Verify that the user should not be able to use Switch Course on WooCommerce-hosted courses (GRE)</t>
  </si>
  <si>
    <t>Valid E2 Language student test account/environment on a desktop browser (latest stable Chrome/Firefox/Safari/Edge). Student is registered on the GRE course (via WooCommerce).</t>
  </si>
  <si>
    <t>GRE student account</t>
  </si>
  <si>
    <t>Objective: GRE / WooCommerce-hosted courses are not supported for Switch Course
1. Log in as a GRE (WooCommerce) student.
2. Attempt to locate 'Switch My Course' or otherwise switch to a non-WooCommerce course.
3. Observe whether the option is available and, if attempted, what happens.</t>
  </si>
  <si>
    <t>Per the wiki, Switch Course is not documented as supported for WooCommerce-hosted courses (GRE, E2 English) - confirm the option is hidden/blocked rather than silently broken.
Automation note: Not confirmed live - flagged in the source doc itself as a real unknown, not a guess either way; 'verify with engineering before promising the flow.'</t>
  </si>
  <si>
    <t>TC-STU-017</t>
  </si>
  <si>
    <t>Verify that an expired free-trial user should be able to extend the trial by 1 week via the survey</t>
  </si>
  <si>
    <t>Extend Package</t>
  </si>
  <si>
    <t>Valid E2 Language student test account/environment on a desktop browser (latest stable Chrome/Firefox/Safari/Edge). Student's free trial has expired.</t>
  </si>
  <si>
    <t>Expired free-trial account</t>
  </si>
  <si>
    <t>Objective: Expired free student extends trial by 1 week via the expired pop-up survey
1. Log in as an expired free student; the Access Period Expired pop-up appears.
2. Click Extend.
3. Complete the survey (any reason other than Financial Constraint).
4. Submit.</t>
  </si>
  <si>
    <t>The trial is extended by exactly 1 week; no payment is involved.
Automation note: Deterministic, survey-gated, free - safe to automate.</t>
  </si>
  <si>
    <t>TC-STU-018</t>
  </si>
  <si>
    <t>Verify that the user should be able to unlock the 40%-off voucher by selecting 'Financial Constraint'</t>
  </si>
  <si>
    <t>Expired free-trial account; survey reason = Financial Constraint</t>
  </si>
  <si>
    <t>Objective: Selecting Financial Constraint on the Extend survey unlocks the Financial Constraint Voucher
1. Log in as an expired free student.
2. Click Extend on the expired pop-up.
3. Complete the survey, selecting 'Financial Constraint' as the reason.
4. Submit.
5. Observe whether the Financial Constraint Voucher (40% off Express+) is offered.</t>
  </si>
  <si>
    <t>After submitting the survey with Financial Constraint selected, the student is offered the Financial Constraint Voucher (40% off the Express+ package).
Automation note: Deterministic trigger - safe to automate.</t>
  </si>
  <si>
    <t>TC-STU-019</t>
  </si>
  <si>
    <t>Verify that clicking 'Extend' in My Account should take the user to the paid Upgrade flow</t>
  </si>
  <si>
    <t>Valid E2 Language student test account/environment on a desktop browser (latest stable Chrome/Firefox/Safari/Edge). Student is on a free package (not necessarily expired).</t>
  </si>
  <si>
    <t>Free student account</t>
  </si>
  <si>
    <t>Objective: 'Extend' from My Account is actually an Upgrade flow, not the free 1-week extension
1. Log in as a free student.
2. Navigate to My Account.
3. Click the Extend button.
4. Observe the destination page.</t>
  </si>
  <si>
    <t>Clicking Extend from My Account redirects to the Upgrade page (package selection -&gt; Payment Information), NOT the free survey-based 1-week extension offered via the expired pop-up. This is a documented naming inconsistency, not a bug to report - but a real behavioral gap worth its own regression case so the two 'Extend' entry points aren't assumed equivalent.
Automation note: High-value regression case - this exact naming trap is easy to get wrong when automating from the case title alone.</t>
  </si>
  <si>
    <t>TC-STU-020</t>
  </si>
  <si>
    <t>Verify that a paid user should be able to extend access by 1 or 2 weeks</t>
  </si>
  <si>
    <t>Valid E2 Language student test account/environment on a desktop browser (latest stable Chrome/Firefox/Safari/Edge). Student is on a paid package (expired or via side menu/My Account).</t>
  </si>
  <si>
    <t>Paid student account; extension period = 1 week or 2 weeks</t>
  </si>
  <si>
    <t>Objective: Paid student extends access by 1 or 2 weeks through standard checkout
1. Log in as a paid student.
2. Trigger Extend via the expired pop-up, side menu, or My Account.
3. Choose a 1-week or 2-week extension period.
4. Complete payment (Shopify test card 1 = approved) on the Payment Information page.
5. View the Confirmation Page.
6. Click Go to Classroom.</t>
  </si>
  <si>
    <t>The access window extends by the chosen period; per the wiki this extends from the CURRENT EXPIRY DATE, not the payment date - verify this specifically, as it's flagged in the source doc as needing engineering confirmation.
Automation note: The expiry-date-vs-payment-date question is explicitly flagged as unclear in the source doc itself - this test case should be the one that resolves it.</t>
  </si>
  <si>
    <t>TC-STU-021</t>
  </si>
  <si>
    <t>Verify that the user should not be able to stack a second free week by extending twice in one cycle</t>
  </si>
  <si>
    <t>Expired free-trial account, already extended once</t>
  </si>
  <si>
    <t>Objective: Free student clicking Extend twice in one pop-up cycle does not stack a second week
1. Complete the free Extend survey once (per the 1-week-extension case).
2. Immediately attempt to trigger the expired pop-up and Extend flow again in the same cycle.
3. Observe whether a second week is granted.</t>
  </si>
  <si>
    <t>The second attempt does not stack an additional week - the extension is treated as a one-time action per cycle, per the wiki's documented edge case.
Automation note: Worth a concrete regression case given the doc itself flags uncertainty.</t>
  </si>
  <si>
    <t>TC-STU-022</t>
  </si>
  <si>
    <t>Verify that a non-expired user should not see the Extend pop-up</t>
  </si>
  <si>
    <t>Valid E2 Language student test account/environment on a desktop browser (latest stable Chrome/Firefox/Safari/Edge). Student's package (free or paid) has not yet expired.</t>
  </si>
  <si>
    <t>Active (non-expired) student account</t>
  </si>
  <si>
    <t>Objective: Non-expired student does not see the Extend pop-up
1. Log in as a student whose package/trial has not expired.
2. Confirm the Access Period Expired pop-up does not appear.
3. Check whether My Account &gt; Extend is available and what it does for a non-expired student.</t>
  </si>
  <si>
    <t>The expired pop-up should not appear for a non-expired student; behavior of My Account &gt; Extend for a non-expired student should be verified against the student support runbook per the wiki's own flagged uncertainty.
Automation note: Flagged as genuinely unconfirmed rather than assumed - 'behaviour depends on entry point, verify with the student support runbook.'</t>
  </si>
  <si>
    <t>TC-STU-023</t>
  </si>
  <si>
    <t>Verify that the user should receive an Abandon Cart voucher after abandoning an upgrade mid-checkout</t>
  </si>
  <si>
    <t>Special Vouchers</t>
  </si>
  <si>
    <t>Valid E2 Language student test account/environment on a desktop browser (latest stable Chrome/Firefox/Safari/Edge). Student begins an Upgrade and enters payment information.</t>
  </si>
  <si>
    <t>Any student mid-upgrade</t>
  </si>
  <si>
    <t>Objective: Abandon Cart voucher is issued after starting but not completing an Upgrade payment
1. Log in as a student and start an Upgrade.
2. Enter payment information on the Payment Information page.
3. Navigate away WITHOUT completing payment.
4. Return to the Upgrade / Payment Information page on a later visit.
5. Complete the upgrade.</t>
  </si>
  <si>
    <t>The Abandon Cart voucher is auto-applied on the return visit; completing the upgrade with it grants 1 extra Writing Assessment as a bonus.
Automation note: Requires a two-visit test flow (abandon, then return) - needs session/state continuity across steps.</t>
  </si>
  <si>
    <t>TC-STU-024</t>
  </si>
  <si>
    <t>Verify that the user should receive an Exit Intent voucher after leaving checkout</t>
  </si>
  <si>
    <t>Valid E2 Language student test account/environment on a desktop browser (latest stable Chrome/Firefox/Safari/Edge). Student reaches the checkout page during an Upgrade or Add-on purchase.</t>
  </si>
  <si>
    <t>Any student at checkout</t>
  </si>
  <si>
    <t>Objective: Exit Intent voucher is issued when navigating away from checkout
1. Log in as a student and reach the checkout/Payment Information page.
2. Navigate back / away without completing the purchase.
3. Return to checkout.</t>
  </si>
  <si>
    <t>The Exit Intent voucher ($10 discount) is auto-applied on return to checkout.
Automation note: Also worth testing the documented edge case: a $10 discount on an item cheaper than $10 - confirm whether it's rejected or capped.</t>
  </si>
  <si>
    <t>TC-STU-025</t>
  </si>
  <si>
    <t>Verify that the user should unlock the Login Streak voucher after 3 consecutive logins</t>
  </si>
  <si>
    <t>Valid E2 Language student test account/environment on a desktop browser (latest stable Chrome/Firefox/Safari/Edge). Student logs in on 3 consecutive occasions (free or paid).</t>
  </si>
  <si>
    <t>Any free or paid student, 3 consecutive logins</t>
  </si>
  <si>
    <t>Objective: Login Streak voucher is issued after 3 consecutive logins
1. Log in as a student on day 1.
2. Log in again on day 2 (or the next distinct login session).
3. Log in again on day 3.
4. Navigate to the Upgrade flow.</t>
  </si>
  <si>
    <t>The Login Streak voucher (20% off upgrades) is auto-applied at the next Upgrade attempt after the 3rd consecutive login.
Automation note: 'Consecutive' likely means distinct calendar days or sessions - confirm the exact definition before automating the login cadence. Also test the documented reset case: a missed day resets the streak to zero.</t>
  </si>
  <si>
    <t>TC-STU-026</t>
  </si>
  <si>
    <t>Verify how voucher stacking should behave when the user qualifies for two Special Vouchers at once</t>
  </si>
  <si>
    <t>Valid E2 Language student test account/environment on a desktop browser (latest stable Chrome/Firefox/Safari/Edge). Student qualifies for both a Login Streak voucher and an Abandon Cart voucher simultaneously.</t>
  </si>
  <si>
    <t>Student qualifying for 2+ Special Vouchers concurrently</t>
  </si>
  <si>
    <t>Objective: A student eligible for two stackable Special Vouchers at once - verify stacking behavior
1. Set up a student who has both a 3-login streak AND an abandoned upgrade cart.
2. Return to checkout.
3. Observe which voucher(s) apply and how.</t>
  </si>
  <si>
    <t>Per the wiki, stacking behaviour is upstream / not confidently documented even by the source doc's author - most voucher engines apply the larger discount and ignore the other. This case should establish the actual behavior rather than assume it.
Automation note: Genuinely unconfirmed - this test case's job is to resolve the ambiguity, not just check a known answer; 'confirm with engineering before assuming both apply.'</t>
  </si>
  <si>
    <t>TC-STU-027</t>
  </si>
  <si>
    <t>Verify that the user should be charged the full package price on a Free-to-Paid upgrade</t>
  </si>
  <si>
    <t>Payment - Upgrade</t>
  </si>
  <si>
    <t>Free student account; any paid package</t>
  </si>
  <si>
    <t>Objective: Free-to-Paid (F2P) upgrade charges the full price of the selected package
1. Log in as a free student and click Upgrade.
2. View the package selection - any paid package should be available.
3. Select a package and complete payment.
4. Confirm the amount charged equals the package's full list price.</t>
  </si>
  <si>
    <t>The student pays the full list price of the selected package (F2P has no price-difference discount) and any paid package tier is available for selection.
Automation note: Deterministic pricing assertion - compare charged amount against the package's published list price.</t>
  </si>
  <si>
    <t>TC-STU-028</t>
  </si>
  <si>
    <t>Verify that the user should be charged only the price difference on a Paid-to-Paid upgrade</t>
  </si>
  <si>
    <t>Valid E2 Language student test account/environment on a desktop browser (latest stable Chrome/Firefox/Safari/Edge). Student is on a lower paid tier (e.g. Bronze).</t>
  </si>
  <si>
    <t>Paid student on e.g. Bronze; upgrade to Silver or Gold</t>
  </si>
  <si>
    <t>Objective: Paid-to-Paid (P2P) upgrade charges only the price difference and only shows higher tiers
1. Log in as a paid student on a lower tier.
2. Click Upgrade.
3. Confirm only strictly-higher tiers are shown (current tier and lower tiers are not selectable).
4. Select a higher tier and complete payment.
5. Confirm the amount charged equals (new tier list price - current tier list price), not the new tier's full price.</t>
  </si>
  <si>
    <t>Only higher-tier packages are offered, and the amount charged is the computed price difference, not the full price of the new tier.
Automation note: Needs a known current-tier price and new-tier price to assert the exact difference - pull both from the pricing table (Admin) beforehand.</t>
  </si>
  <si>
    <t>TC-STU-029</t>
  </si>
  <si>
    <t>Verify that the user should be able to use Express Checkout for Free-to-Paid but not Paid-to-Paid</t>
  </si>
  <si>
    <t>Valid E2 Language student test account/environment on a desktop browser (latest stable Chrome/Firefox/Safari/Edge). A free student's email, and separately a paid student's email.</t>
  </si>
  <si>
    <t>Free student email (should succeed); paid student email (should be blocked)</t>
  </si>
  <si>
    <t>Objective: Express Checkout is available for F2P upgrades but blocked for P2P
1. Access the Express Checkout page as an unauthenticated visitor.
2. Enter a FREE student's email address, choose a package, and complete payment - should succeed as an F2P upgrade.
3. Repeat using a PAID student's email address.
4. Observe the result for the paid-student case.</t>
  </si>
  <si>
    <t>Express Checkout succeeds for the free student's email (F2P). For the paid student's email, Express Checkout is blocked because the system cannot compute a price difference without login (P2P requires login).
Automation note: Clean, deterministic two-part case - 'Express Checkout is F2P-only, P2P requires login to validate the existing package.'</t>
  </si>
  <si>
    <t>TC-STU-030</t>
  </si>
  <si>
    <t>Verify that the user's Paid-to-Paid price difference should be based on list price, not a prior discount</t>
  </si>
  <si>
    <t>Valid E2 Language student test account/environment on a desktop browser (latest stable Chrome/Firefox/Safari/Edge). Student purchased their current package at a discount (voucher/promo).</t>
  </si>
  <si>
    <t>Paid student with a discounted current package</t>
  </si>
  <si>
    <t>Objective: P2P upgrade from a previously-discounted package computes the difference from list price
1. Set up a paid student whose current package was purchased at a discounted price (via Admin &gt; People &gt; Student &gt; Add Package, or a real discounted purchase).
2. Initiate a P2P upgrade to a higher tier.
3. Confirm the charged amount is based on LIST price of current tier vs. list price of new tier - not the discounted price actually paid.</t>
  </si>
  <si>
    <t>The price difference is computed from list prices, not the discounted amount actually paid for the current package - existing discounts do not carry forward into the upgrade calculation.
Automation note: A subtle pricing-logic case worth automating precisely because it's easy to assume (incorrectly) that the discount carries forward.</t>
  </si>
  <si>
    <t>TC-STU-031</t>
  </si>
  <si>
    <t>Verify that a new user should be able to register and pay in one step via Express Checkout</t>
  </si>
  <si>
    <t>Registration</t>
  </si>
  <si>
    <t>Valid E2 Language test environment on a desktop browser (latest stable Chrome/Firefox/Safari/Edge); no active student session required.</t>
  </si>
  <si>
    <t>New (unregistered) email address; Shopify test card 1 (approved)</t>
  </si>
  <si>
    <t>Objective: Express Checkout registers a new student via a single email+payment page
1. Access the Express Checkout page (no login).
2. Enter an email address not already registered.
3. Choose a payment method and complete payment.
4. Confirm the email-verification / confirmation flow proceeds as normal.</t>
  </si>
  <si>
    <t>The student registers and pays in a single page without a separate registration form; the confirmation flow (email verification, password setup, post-registration questions) proceeds as in standard Paid Registration.
Automation note: This entry point has NO existing test case in the original suite at all - genuine coverage gap closed here.</t>
  </si>
  <si>
    <t>TC-STU-032</t>
  </si>
  <si>
    <t>Verify that the user should not be able to use Express Checkout with an already-registered email</t>
  </si>
  <si>
    <t>Already-registered email address</t>
  </si>
  <si>
    <t>Objective: Express Checkout is blocked when the email is already registered
1. Access the Express Checkout page.
2. Enter an email address that is already registered in the system.
3. Attempt to proceed.</t>
  </si>
  <si>
    <t>The system blocks the flow at the email check; the student is directed to the Login page or the Upgrade flow instead of being allowed to register again.
Automation note: Deterministic negative-path check.</t>
  </si>
  <si>
    <t>TC-STU-033</t>
  </si>
  <si>
    <t>Verify that the user should be able to register via an Organization Voucher link with the discount auto-applied</t>
  </si>
  <si>
    <t>Valid Organization Voucher 
https://azdopl-rc-main.e2language.com/Registration/UpgradeAccountWithCode?code=GP001-bZbC-01</t>
  </si>
  <si>
    <t>https://azdopl-rc-main.e2language.com/Registration/UpgradeAccountWithCode?code=GP001-bZbC-01</t>
  </si>
  <si>
    <t>Objective: Registration via an Organization Voucher URL auto-applies the discount and lists the student under the org
1. Navigate to an Organization Voucher URL (e.g. /Registration/UpgradeAccountWithCode?code=...).
2. Click Upgrade / Sign Up in the resulting pop-up.
3. Complete registration and payment.
4. As Admin, verify the new student is listed under the voucher-owner Organization.</t>
  </si>
  <si>
    <t>The discount is auto-applied with no manual code entry, and after successful registration the student is listed under the voucher-owner organization (verify via Admin &gt; Partners &gt; Organization or the student's profile).
Automation note: Needs a valid, non-expired Organization Voucher code from Admin &gt; Partners &gt; Organization as test data.</t>
  </si>
  <si>
    <t>TC-STU-034</t>
  </si>
  <si>
    <t>Verify that the user should receive a 25% discount when registering via a referral link</t>
  </si>
  <si>
    <t>Valid referral URL/code from an existing student</t>
  </si>
  <si>
    <t>Objective: Registration via an E2 Rewards referral URL grants the referred student a 25% discount
1. Obtain a referral URL from an existing student (e.g. /Registration/SignUpWithReferral?referralCode=...).
2. Enter an email on the 'Get 25% off' landing page and click Unlock My Discount.
3. Select a course and package, then complete registration and payment.
4. Confirm the 25% discount is reflected in the amount charged.</t>
  </si>
  <si>
    <t>The referred student receives a 25% discount on their first paid package; per the wiki, the referrer receives their own discount for 1 referral and a bonus tutorial at 3 referrals - worth a follow-up case to verify referrer-side rewards separately.
Automation note: Referrer-side reward verification (1 referral = discount, 3 referrals = bonus tutorial) is a separate, not-yet-written follow-up case.</t>
  </si>
  <si>
    <t>TC-STU-035</t>
  </si>
  <si>
    <t>Verify that the user should be redirected to the standard Sign Up flow from an Organization's partnership page</t>
  </si>
  <si>
    <t>A known organization partnership URL</t>
  </si>
  <si>
    <t>Objective: Registration via an Organization's own partnership website reaches the same Paid Sign Up flow
1. Navigate to an organization's partnership URL (e.g. www.e2language.com/partnership/tds-test-org).
2. Click Sign Up on a package card.
3. Confirm redirection to the standard Paid Sign Up page and complete registration.</t>
  </si>
  <si>
    <t>The organization's partnership page redirects into the same canonical Paid Sign Up flow as every other entry point.
Automation note: Simple entry-point redirect check; low risk once the canonical flow itself is verified elsewhere.</t>
  </si>
  <si>
    <t>TC-STU-036</t>
  </si>
  <si>
    <t>Verify that the user should be able to buy the Tutorial Session add-on more than once</t>
  </si>
  <si>
    <t>Payment - Add-on Purchase</t>
  </si>
  <si>
    <t>Valid E2 Language student test account/environment on a desktop browser (latest stable Chrome/Firefox/Safari/Edge).</t>
  </si>
  <si>
    <t>Any student account; Tutorial Session add-on</t>
  </si>
  <si>
    <t>Objective: Student purchases an Appointment add-on (Tutorial Session) via E2 Shop with no purchase limit
1. Log in as a student and navigate to E2 Shop.
2. Click Learn More on Tutorial Session, then Buy.
3. Complete payment on the Payment Information page.
4. View the Confirmation Page and click Go to Dashboard.
5. Repeat the purchase a second time to confirm no maximum limit applies.</t>
  </si>
  <si>
    <t>The Tutorial Session add-on can be purchased via E2 Shop, and per the wiki has no maximum purchase limit - a second purchase should also succeed.
Automation note: Appointment add-ons (Tutorial, Pre-Test Strategy, Post-Test Consultation) share this no-limit behavior - this case's pattern covers all three.</t>
  </si>
  <si>
    <t>TC-STU-037</t>
  </si>
  <si>
    <t>Verify that the user should not be able to purchase another assessment add-on once every option is owned</t>
  </si>
  <si>
    <t>Valid E2 Language student test account/environment on a desktop browser (latest stable Chrome/Firefox/Safari/Edge). Student already owns every available Individual Assessment and Assessment Bundle option for their course.</t>
  </si>
  <si>
    <t>Student account already at the assessment-add-on cap</t>
  </si>
  <si>
    <t>Objective: Assessment add-on purchase is blocked once the student owns every available option
1. Log in as a student who owns all available assessment options.
2. Navigate to E2 Shop or the Assessments menu.
3. Attempt to purchase another Individual Assessment or Bundle.</t>
  </si>
  <si>
    <t>The Buy control is hidden, or attempting the direct Add-on URL returns a 'no more options' state - purchase is blocked.
Automation note: Needs a student pre-seeded (via Admin) to already own every assessment option for their course.</t>
  </si>
  <si>
    <t>TC-STU-038</t>
  </si>
  <si>
    <t>Verify that the user should not be able to purchase the Express Mock Test add-on yet</t>
  </si>
  <si>
    <t>Any student account</t>
  </si>
  <si>
    <t>Objective: Express Mock Test add-on is listed but not currently purchasable
1. Log in as a student and navigate to E2 Shop or the Mock Test menu.
2. Locate the Express Mock Test option.
3. Attempt to purchase it.</t>
  </si>
  <si>
    <t>Express Mock Test is visible/listed but purchase is not currently available - per the wiki this should NOT be promised to a student. Confirm the UI reflects this (e.g. disabled Buy button or a 'coming soon' state) rather than silently failing.
Automation note: 'Express Mock Test is listed but not currently available for purchase - verify with product before promising it to a student.'</t>
  </si>
  <si>
    <t>TC-STU-039</t>
  </si>
  <si>
    <t>Verify that the user should be able to purchase an E2 English add-on only once, with access on the separate platform</t>
  </si>
  <si>
    <t>E2 English add-on: Elementary / Intermediate / Advanced / Pronunciation</t>
  </si>
  <si>
    <t>Objective: E2 English add-on purchase is one-time only, with continued access on the separate E2 English platform
1. Log in as a student and purchase an E2 English add-on (e.g. Elementary English) via E2 Shop.
2. Complete payment and confirm access.
3. Attempt to purchase the SAME E2 English add-on a second time.
4. Navigate to the E2 English content via Course Material and confirm the student is redirected to the separate E2 English platform.</t>
  </si>
  <si>
    <t>The first purchase succeeds and redirects the student to the E2 English platform for continued access; a second purchase of the same course add-on is blocked (one-purchase-only per course).
Automation note: Two assertions in one case: purchase-once limit, and the cross-platform redirect to the separate E2 English site.</t>
  </si>
  <si>
    <t>TC-STU-040</t>
  </si>
  <si>
    <t>Verify that the user should see the Group Class add-on only when a class is actually scheduled</t>
  </si>
  <si>
    <t>Student course with and without a scheduled Group Class</t>
  </si>
  <si>
    <t>Objective: Group Class add-on only surfaces when a class is actually scheduled for the student's course
1. As Admin/Teacher, confirm whether a Group Class is currently scheduled for the test student's course.
2. Log in as the student and check E2 Shop / Group Class menu for the add-on's availability.
3. If unscheduled, confirm the add-on does not appear; if scheduled, confirm it does and can be purchased.</t>
  </si>
  <si>
    <t>The Group Class add-on is only visible/purchasable when a class is actually scheduled for the student's course - it should not appear otherwise.
Automation note: Needs an Admin/Teacher-side setup step to control whether a Group Class exists for the test course.</t>
  </si>
  <si>
    <t>TC-STU-041</t>
  </si>
  <si>
    <t>Verify that the user should be able to purchase Expedited Feedback only from the submission grid</t>
  </si>
  <si>
    <t>Valid E2 Language student test account/environment on a desktop browser (latest stable Chrome/Firefox/Safari/Edge). Student has a submitted assessment awaiting review.</t>
  </si>
  <si>
    <t>Student with a pending assessment submission</t>
  </si>
  <si>
    <t>Objective: Expedited Feedback add-on can only be purchased from the submission grid, never Shop or a direct URL
1. Attempt to find/purchase Expedited Feedback via E2 Shop - confirm it is NOT available there.
2. Attempt a direct Add-on URL for Expedited Feedback (if one is guessed/known) - confirm it does not work either.
3. Go to the submission grid where the assessment is listed.
4. Click the Expedited Feedback action button and complete the purchase.
5. Confirm the submission is tagged as Expedited and prioritised.</t>
  </si>
  <si>
    <t>Expedited Feedback cannot be bought via Shop or a direct URL (both should fail/not offer it) - it is only purchasable from the submission grid, tied to that specific submission, which then gets tagged Expedited and prioritized for review.
Automation note: The negative assertions (Shop/URL don't work) are as important to test as the positive grid-based flow.</t>
  </si>
  <si>
    <t>TC-STU-042</t>
  </si>
  <si>
    <t>Verify that the user should be able to purchase Reset Appointment only after a teacher marks No-Show</t>
  </si>
  <si>
    <t>Valid E2 Language student test account/environment on a desktop browser (latest stable Chrome/Firefox/Safari/Edge). Student missed a booked appointment and a teacher has marked them No-Show.</t>
  </si>
  <si>
    <t>Student with a No-Show-marked appointment</t>
  </si>
  <si>
    <t>Objective: Reset Appointment add-on can only be purchased after a teacher marks the student No-Show
1. As Teacher, mark a student's missed appointment as No-Show.
2. As the student, go to the appointment grid.
3. Confirm the Reset action button appears (and did not appear before the No-Show mark).
4. Click Reset and complete the purchase.
5. Confirm the student can now book another appointment.</t>
  </si>
  <si>
    <t>The Reset action is only available after a teacher marks the student No-Show, only from the appointment grid (not Shop/URL); completing the purchase allows booking a new appointment.
Automation note: Needs a Teacher-side setup step (mark No-Show) before the Reset option becomes available - cross-role precondition.</t>
  </si>
  <si>
    <t>TC-STU-043</t>
  </si>
  <si>
    <t>Verify that the user should be able to upgrade from Free to Power</t>
  </si>
  <si>
    <t>Package Upgrade</t>
  </si>
  <si>
    <t>Valid E2 Language student test account/environment on a desktop browser (latest stable Chrome/Firefox/Safari/Edge). Student is on the Free package.</t>
  </si>
  <si>
    <t>From package = Free; To package = Power</t>
  </si>
  <si>
    <t>Objective: Free package upgrade to Power: ALLOWED
1. Log in as a student on the Free package.
2. Navigate to Upgrade / package selection.
3. Attempt to select the Power package.
4. Observe whether the upgrade is offered and, if blocked, whether an 'upgrade package suggestion' page is shown.</t>
  </si>
  <si>
    <t xml:space="preserve">The upgrade from Free to Power is ALLOWED and proceeds to the standard Upgrade payment flow.
Automation note: Needs a test student pre-seeded on the Free package (Admin &gt; People &gt; Student &gt; Add Package). </t>
  </si>
  <si>
    <t>TC-STU-044</t>
  </si>
  <si>
    <t>Verify that the user should not be able to upgrade from Free to Tutorial Bundle x2</t>
  </si>
  <si>
    <t>From package = Free; To package = Tutorial Bundle x2</t>
  </si>
  <si>
    <t>Objective: Free package upgrade to Tutorial Bundle x2: BLOCKED
1. Log in as a student on the Free package.
2. Navigate to Upgrade / package selection.
3. Attempt to select the Tutorial Bundle x2 package.
4. Observe whether the upgrade is offered and, if blocked, whether an 'upgrade package suggestion' page is shown.</t>
  </si>
  <si>
    <t>The upgrade from Free to Tutorial Bundle x2 is NOT ALLOWED. No URL package exists to upgrade into a Tutorial Bundle from Free - this is a structural gap, not a suggestion-page block.
Automation note: Needs a test student pre-seeded on the Free package (Admin &gt; People &gt; Student &gt; Add Package). No URL package exists to upgrade into a Tutorial Bundle from Free - this is a structural gap, not a suggestion-page block.</t>
  </si>
  <si>
    <t>TC-STU-045</t>
  </si>
  <si>
    <t>Verify that the user should not be able to upgrade from Express to Power</t>
  </si>
  <si>
    <t>Valid E2 Language student test account/environment on a desktop browser (latest stable Chrome/Firefox/Safari/Edge). Student is on the Express package.</t>
  </si>
  <si>
    <t>From package = Express; To package = Power</t>
  </si>
  <si>
    <t>Objective: Express package upgrade to Power: BLOCKED
1. Log in as a student on the Express package.
2. Navigate to Upgrade / package selection.
3. Attempt to select the Power package.
4. Observe whether the upgrade is offered and, if blocked, whether an 'upgrade package suggestion' page is shown.</t>
  </si>
  <si>
    <t>The upgrade from Express to Power is NOT ALLOWED. The system displays an 'upgrade package suggestion' page instead of allowing the direct upgrade.
Automation note: Needs a test student pre-seeded on the Express package (Admin &gt; People &gt; Student &gt; Add Package). The system displays an 'upgrade package suggestion' page instead of allowing the direct upgrade.</t>
  </si>
  <si>
    <t>TC-STU-046</t>
  </si>
  <si>
    <t>Verify that the user should not be able to upgrade from Gold to Power</t>
  </si>
  <si>
    <t>Valid E2 Language student test account/environment on a desktop browser (latest stable Chrome/Firefox/Safari/Edge). Student is on the Gold package.</t>
  </si>
  <si>
    <t>From package = Gold; To package = Power</t>
  </si>
  <si>
    <t>Objective: Gold package upgrade to Power: BLOCKED
1. Log in as a student on the Gold package.
2. Navigate to Upgrade / package selection.
3. Attempt to select the Power package.
4. Observe whether the upgrade is offered and, if blocked, whether an 'upgrade package suggestion' page is shown.</t>
  </si>
  <si>
    <t>The upgrade from Gold to Power is NOT ALLOWED. Unlike Express/Bronze/Silver, Gold does NOT show the upgrade suggestion page at all when blocked - a distinct behavior worth its own assertion.
Automation note: Needs a test student pre-seeded on the Gold package (Admin &gt; People &gt; Student &gt; Add Package). Unlike Express/Bronze/Silver, Gold does NOT show the upgrade suggestion page at all when blocked - a distinct behavior worth its own assertion.</t>
  </si>
  <si>
    <t>TC-STU-047</t>
  </si>
  <si>
    <t>Verify that the user should be able to upgrade from Power to Silver</t>
  </si>
  <si>
    <t>Valid E2 Language student test account/environment on a desktop browser (latest stable Chrome/Firefox/Safari/Edge). Student is on the Power package.</t>
  </si>
  <si>
    <t>From package = Power; To package = Silver</t>
  </si>
  <si>
    <t>Objective: Power package upgrade to Silver: ALLOWED
1. Log in as a student on the Power package.
2. Navigate to Upgrade / package selection.
3. Attempt to select the Silver package.
4. Observe whether the upgrade is offered and, if blocked, whether an 'upgrade package suggestion' page is shown.</t>
  </si>
  <si>
    <t>The upgrade from Power to Silver is ALLOWED and proceeds to the standard Upgrade payment flow.
Automation note: Needs a test student pre-seeded on the Power package (Admin &gt; People &gt; Student &gt; Add Package). Power -&gt; Gold should also be allowed (test both destinations).</t>
  </si>
  <si>
    <t>TC-STU-048</t>
  </si>
  <si>
    <t>Verify that the user should not be able to upgrade from Power to Bronze, Showtime, or All-in</t>
  </si>
  <si>
    <t>From package = Power; To package = Bronze</t>
  </si>
  <si>
    <t>Objective: Power package upgrade to Bronze: BLOCKED
1. Log in as a student on the Power package.
2. Navigate to Upgrade / package selection.
3. Attempt to select the Bronze package.
4. Observe whether the upgrade is offered and, if blocked, whether an 'upgrade package suggestion' page is shown.</t>
  </si>
  <si>
    <t>The upgrade from Power to Bronze is NOT ALLOWED. Power -&gt; Showtime and Power -&gt; All-in are also blocked with the upgrade suggestion page - test all three destinations.
Automation note: Needs a test student pre-seeded on the Power package (Admin &gt; People &gt; Student &gt; Add Package). Power -&gt; Showtime and Power -&gt; All-in are also blocked with the upgrade suggestion page - test all three destinations.</t>
  </si>
  <si>
    <t>TC-STU-049</t>
  </si>
  <si>
    <t>Verify that the user should be able to upgrade from Showtime to Gold</t>
  </si>
  <si>
    <t>Valid E2 Language student test account/environment on a desktop browser (latest stable Chrome/Firefox/Safari/Edge). Student is on the Showtime package.</t>
  </si>
  <si>
    <t>From package = Showtime; To package = Gold</t>
  </si>
  <si>
    <t>Objective: Showtime package upgrade to Gold: ALLOWED
1. Log in as a student on the Showtime package.
2. Navigate to Upgrade / package selection.
3. Attempt to select the Gold package.
4. Observe whether the upgrade is offered and, if blocked, whether an 'upgrade package suggestion' page is shown.</t>
  </si>
  <si>
    <t>The upgrade from Showtime to Gold is ALLOWED and proceeds to the standard Upgrade payment flow.
Automation note: Needs a test student pre-seeded on the Showtime package (Admin &gt; People &gt; Student &gt; Add Package). Showtime -&gt; Silver should also be allowed.</t>
  </si>
  <si>
    <t>TC-STU-050</t>
  </si>
  <si>
    <t>Verify that the user should not be able to upgrade from All-in to Bronze</t>
  </si>
  <si>
    <t>Valid E2 Language student test account/environment on a desktop browser (latest stable Chrome/Firefox/Safari/Edge). Student is on the All-in package.</t>
  </si>
  <si>
    <t>From package = All-in; To package = Bronze</t>
  </si>
  <si>
    <t>Objective: All-in package upgrade to Bronze: BLOCKED
1. Log in as a student on the All-in package.
2. Navigate to Upgrade / package selection.
3. Attempt to select the Bronze package.
4. Observe whether the upgrade is offered and, if blocked, whether an 'upgrade package suggestion' page is shown.</t>
  </si>
  <si>
    <t>The upgrade from All-in to Bronze is NOT ALLOWED. All-in is fully locked against Bronze/Silver/Gold/Showtime/Power - unlike other blocked pairs, no suggestion page is shown at all for All-in.
Automation note: Needs a test student pre-seeded on the All-in package (Admin &gt; People &gt; Student &gt; Add Package). All-in is fully locked against Bronze/Silver/Gold/Showtime/Power - unlike other blocked pairs, no suggestion page is shown at all for All-in.</t>
  </si>
  <si>
    <t>TC-STU-051</t>
  </si>
  <si>
    <t>Verify that the user should not be able to upgrade from Tutorial Bundle x2 to Silver</t>
  </si>
  <si>
    <t>Valid E2 Language student test account/environment on a desktop browser (latest stable Chrome/Firefox/Safari/Edge). Student is on the Tutorial Bundle x2 package.</t>
  </si>
  <si>
    <t>From package = Tutorial Bundle x2; To package = Silver</t>
  </si>
  <si>
    <t>Objective: Tutorial Bundle x2 package upgrade to Silver: BLOCKED
1. Log in as a student on the Tutorial Bundle x2 package.
2. Navigate to Upgrade / package selection.
3. Attempt to select the Silver package.
4. Observe whether the upgrade is offered and, if blocked, whether an 'upgrade package suggestion' page is shown.</t>
  </si>
  <si>
    <t>The upgrade from Tutorial Bundle x2 to Silver is NOT ALLOWED. Both Tutorial Bundle tiers are fully locked against every other package tier, with no suggestion page shown - same 'nothing at all' behavior as All-in.
Automation note: Needs a test student pre-seeded on the Tutorial Bundle x2 package (Admin &gt; People &gt; Student &gt; Add Package). Both Tutorial Bundle tiers are fully locked against every other package tier, with no suggestion page shown - same 'nothing at all' behavior as All-in.</t>
  </si>
  <si>
    <t>TC-STU-052</t>
  </si>
  <si>
    <t>Verify that the user should be able to upgrade from Express Extra to Silver</t>
  </si>
  <si>
    <t>Valid E2 Language student test account/environment on a desktop browser (latest stable Chrome/Firefox/Safari/Edge). Student is on the Express Extra package.</t>
  </si>
  <si>
    <t>From package = Express Extra; To package = Silver</t>
  </si>
  <si>
    <t>Objective: Express Extra package upgrade to Silver: ALLOWED
1. Log in as a student on the Express Extra package.
2. Navigate to Upgrade / package selection.
3. Attempt to select the Silver package.
4. Observe whether the upgrade is offered and, if blocked, whether an 'upgrade package suggestion' page is shown.</t>
  </si>
  <si>
    <t>The upgrade from Express Extra to Silver is ALLOWED and proceeds to the standard Upgrade payment flow.
Automation note: Needs a test student pre-seeded on the Express Extra package (Admin &gt; People &gt; Student &gt; Add Package). Express Extra -&gt; Gold should also be allowed.</t>
  </si>
  <si>
    <t>TC-E2E-053</t>
  </si>
  <si>
    <t>Verify that the user should be able to submit a Writing/Speaking assessment for teacher grading (cross-role leg 3 of 6)</t>
  </si>
  <si>
    <t>Cross-Role E2E Flow (leg 3 of 6)</t>
  </si>
  <si>
    <t>TC-E2E-001 completed (student holds a package granting access to a Writing/Speaking assessment). Student authenticated (TC-STU-001).</t>
  </si>
  <si>
    <t>Student assessment activity (exact URL PLACEHOLDER)</t>
  </si>
  <si>
    <t>1. Log in as the student.
2. Navigate to an available Writing or Speaking assessment for the assigned package/exam type.
3. Complete and submit the assessment.</t>
  </si>
  <si>
    <t>The submission is accepted and appears in the Teacher's pending marking queue - the corresponding Writing or Speaking tile count on Teacher Home increments by 1.</t>
  </si>
  <si>
    <t>A new pending submission exists for Teacher grading. Feeds TC-E2E-004.</t>
  </si>
  <si>
    <t>TC-E2E-054</t>
  </si>
  <si>
    <t>Verify that the user should be able to view the teacher's graded feedback (cross-role leg 5 of 6)</t>
  </si>
  <si>
    <t>Cross-Role E2E Flow (leg 5 of 6)</t>
  </si>
  <si>
    <t>TC-E2E-004 completed. Student authenticated.</t>
  </si>
  <si>
    <t>Student recent-score/summary view (exact URL PLACEHOLDER - see the TC-D153-style 'recent score' view)</t>
  </si>
  <si>
    <t>1. Log in as the student.
2. Navigate to the recent score/summary view or the specific assessment's result page.</t>
  </si>
  <si>
    <t>The score and any Comment/Audio Feedback entered by the Teacher in TC-E2E-004 are visible to the student. NOTE: the exact student-facing 'view my graded feedback' screen/URL was not independently captured beyond the general 'recent score' view referenced in TC-D153 - confirm and record the precise UI at first execution.</t>
  </si>
  <si>
    <t>Student-visible feedback loop confirmed. Feeds TC-E2E-006.</t>
  </si>
  <si>
    <t>TC-STU-055</t>
  </si>
  <si>
    <t>Verify that the user should be able to request a password-reset email</t>
  </si>
  <si>
    <t>Student account exists; no active session.</t>
  </si>
  <si>
    <t>Student email (e.g. kadaj29422@prorises.com or a freshly-registered account)</t>
  </si>
  <si>
    <t>1. On the login page, click 'Forgot your password?' (exact link text PLACEHOLDER).
2. Enter the student's email address.
3. Submit the request.</t>
  </si>
  <si>
    <t>TC-STU-056</t>
  </si>
  <si>
    <t>Verify that the user should be able to reset the password via the emailed link</t>
  </si>
  <si>
    <t>TC-STU-055 completed; a reset email has been sent.</t>
  </si>
  <si>
    <t>1. Open the password-reset email.
2. Click the reset link.
3. Enter and confirm a new password.
4. Submit.
5. Log in with the new password.</t>
  </si>
  <si>
    <t>The password is updated and the student can log in with the new password; the old password no longer works.</t>
  </si>
  <si>
    <t>TC-STU-057</t>
  </si>
  <si>
    <t>Verify that the system should not reveal whether an email is registered on Forgot Password</t>
  </si>
  <si>
    <t>Account &amp; Security - Password Reset (negative)</t>
  </si>
  <si>
    <t>No active session.</t>
  </si>
  <si>
    <t>An email address NOT registered in the system.</t>
  </si>
  <si>
    <t>1. On the login page, click 'Forgot your password?'.
2. Enter an email address that is not registered.
3. Submit the request.</t>
  </si>
  <si>
    <t>The system should not reveal whether the email exists in its response (standard security practice - e.g. a generic 'if this email exists, a reset link has been sent' message for both existing and non-existing emails). Exact on-page copy PLACEHOLDER - not captured; this case's job is to confirm the app actually follows this practice rather than leaking account-existence via a different message for unregistered emails.</t>
  </si>
  <si>
    <t>No reset email is actually sent for the non-existent address.</t>
  </si>
  <si>
    <t>TC-STU-058</t>
  </si>
  <si>
    <t>Verify that the user should be able to change the password while logged in</t>
  </si>
  <si>
    <t>Account &amp; Security - Change Password</t>
  </si>
  <si>
    <t>Authenticated as Student.</t>
  </si>
  <si>
    <t>Current password; new password meeting the app's password policy (PLACEHOLDER).</t>
  </si>
  <si>
    <t>Student &gt; My Account &gt; Change Password (exact URL PLACEHOLDER)</t>
  </si>
  <si>
    <t>1. Navigate to My Account.
2. Locate Change Password (exact menu path PLACEHOLDER - not captured; My Account is confirmed to exist as it also hosts the Extend entry point used elsewhere in this suite).
3. Enter current password and new password.
4. Submit.</t>
  </si>
  <si>
    <t>The password is updated while remaining logged in; subsequent logins require the new password.</t>
  </si>
  <si>
    <t>TC-STU-059</t>
  </si>
  <si>
    <t>Verify that the user should be able to view and edit profile settings</t>
  </si>
  <si>
    <t>Student &gt; My Account (exact URL PLACEHOLDER)</t>
  </si>
  <si>
    <t>1. Navigate to My Account.
2. Review/edit profile fields (exact fields PLACEHOLDER - not itemized in findings; standard fields expected: name, email, country, phone).
3. Save.</t>
  </si>
  <si>
    <t>Profile changes are saved. Exact editable fields and validation rules not independently verified - confirm at execution.</t>
  </si>
  <si>
    <t>TC-STU-060</t>
  </si>
  <si>
    <t>Verify that the user should be able to submit a Writing Task 1 response for AI scoring</t>
  </si>
  <si>
    <t>AI Practice Activity - Writing/Speaking</t>
  </si>
  <si>
    <t>Activity type = Writing Task 1; response = on-topic</t>
  </si>
  <si>
    <t>Writing/Speaking practice activity (exact URL PLACEHOLDER)</t>
  </si>
  <si>
    <t>1. Open a Writing Task 1 practice activity.
2. Compose/record an on-topic response.
3. Submit the response for AI scoring.</t>
  </si>
  <si>
    <t>The on-topic response for Writing Task 1 submits successfully and is accepted by the AI scoring engine without error. (Source: existing verified case TC-D079 in E2_Language_Regression_Test_Cases_v2.xlsx. AI scoring engine confirmed per wiki: Azure OpenAI for Writing, ELSA Speak API + Azure Speech AI for Speaking.)</t>
  </si>
  <si>
    <t>A submitted response awaiting/receiving AI score.</t>
  </si>
  <si>
    <t>TC-STU-061</t>
  </si>
  <si>
    <t>Verify that the user should be able to view the AI-generated score report for Writing Task 1</t>
  </si>
  <si>
    <t>Activity type = Writing Task 1</t>
  </si>
  <si>
    <t>AI score report view (exact URL PLACEHOLDER)</t>
  </si>
  <si>
    <t>1. Submit a Writing Task 1 practice response.
2. Wait for AI scoring to complete.
3. Open the resulting score report.</t>
  </si>
  <si>
    <t>The AI-generated score report for the Writing Task 1 activity renders correctly with a full score/criteria breakdown. (Source: existing verified case TC-D080.)</t>
  </si>
  <si>
    <t>TC-STU-062</t>
  </si>
  <si>
    <t>Verify that the user should be able to join a live class from the Dashboard</t>
  </si>
  <si>
    <t>Live Class</t>
  </si>
  <si>
    <t>Valid E2 Language student test account/environment on a desktop browser (latest stable Chrome/Firefox/Safari/Edge). Student is registered for an in-progress/starting live class (requires TC-ADM-012 setup).</t>
  </si>
  <si>
    <t>Entry point = Dashboard</t>
  </si>
  <si>
    <t>Student Dashboard (exact URL PLACEHOLDER)</t>
  </si>
  <si>
    <t>1. Log in as a student registered for an in-progress/starting live class.
2. Join the class via Dashboard.
3. Confirm the live class session opens.</t>
  </si>
  <si>
    <t>Clicking join via Dashboard correctly opens/launches the live class session. Per confirmed architecture, Live Class delivery is Zoom-based - assert the redirect/URL only, do not assume specific Zoom in-meeting UI. (Source: existing verified case TC-D053.)</t>
  </si>
  <si>
    <t>TC-STU-063</t>
  </si>
  <si>
    <t>Verify that a free-package user should not be able to unregister from a live class</t>
  </si>
  <si>
    <t>Valid E2 Language student test account/environment on a desktop browser (latest stable Chrome/Firefox/Safari/Edge). Student is on a free package, registered for an upcoming live class.</t>
  </si>
  <si>
    <t>Entry point = Live Class menu; condition = free package</t>
  </si>
  <si>
    <t>Live Class menu (exact URL PLACEHOLDER)</t>
  </si>
  <si>
    <t>1. Log in as a student (free package).
2. Register for an upcoming live class via Live Class menu.
3. Attempt to unregister where the student is on a free package.
4. Observe the system's response.</t>
  </si>
  <si>
    <t>The system correctly blocks unregistration via Live Class menu when the student is on a free package, showing an appropriate message rather than allowing the unregister action. (Source: existing verified case TC-D052.)</t>
  </si>
  <si>
    <t>TC-STU-064</t>
  </si>
  <si>
    <t>Verify that a paid user should be able to watch a recorded class in the Watched tab</t>
  </si>
  <si>
    <t>Recorded Class</t>
  </si>
  <si>
    <t>Valid E2 Language student test account/environment on a desktop browser (latest stable Chrome/Firefox/Safari/Edge). Paid student account.</t>
  </si>
  <si>
    <t>Paid user account</t>
  </si>
  <si>
    <t>Recorded Classes (exact URL PLACEHOLDER)</t>
  </si>
  <si>
    <t>1. Log in as a paid student.
2. Navigate to Recorded Classes.
3. Switch to the Watched tab.
4. Play a recording from the list.</t>
  </si>
  <si>
    <t>The Watched tab correctly lists the recordings for a paid user and playback works; a watched recording correctly moves between the Unwatched/Watched tabs. (Source: existing verified case TC-D067.)</t>
  </si>
  <si>
    <t>TC-STU-065</t>
  </si>
  <si>
    <t>Verify that a free-tier user should not be able to play a premium recording</t>
  </si>
  <si>
    <t>Valid E2 Language student test account/environment on a desktop browser (latest stable Chrome/Firefox/Safari/Edge). Free-tier account.</t>
  </si>
  <si>
    <t>Free-tier account; premium recording</t>
  </si>
  <si>
    <t>1. Log in as a free student.
2. Navigate to Recorded Classes.
3. Attempt to play a premium (non-free) recording.</t>
  </si>
  <si>
    <t>The free-tier student is blocked from playback and is routed to the Upgrade flow instead of the video player. (Source: existing verified case TC-D068.)</t>
  </si>
  <si>
    <t>TC-STU-066</t>
  </si>
  <si>
    <t>Verify that the user should be able to play a podcast episode via the embedded Spotify player</t>
  </si>
  <si>
    <t>Podcast</t>
  </si>
  <si>
    <t>Podcasts page (exact URL PLACEHOLDER)</t>
  </si>
  <si>
    <t>1. Log in as a student.
2. Navigate to Podcasts.
3. Play an episode via the embedded Spotify player.</t>
  </si>
  <si>
    <t>The Spotify-embedded podcasts are playable in-page without error. (Source: existing verified case TC-D157.) NOTE: embedded Spotify iframe playback is a real third-party integration, not fully controllable by UI automation - classified Manual for this reason.</t>
  </si>
  <si>
    <t>TC-STU-067</t>
  </si>
  <si>
    <t>Verify that the user should be able to complete Score Calculator V2 end-to-end</t>
  </si>
  <si>
    <t>Score Calculator</t>
  </si>
  <si>
    <t>Score Calculator version = V2</t>
  </si>
  <si>
    <t>Score Calculator V2 (exact URL PLACEHOLDER)</t>
  </si>
  <si>
    <t>1. Log in as a student.
2. Open the Score Calculator (V2).
3. Complete all required sections.
4. Submit and view the resulting score report.</t>
  </si>
  <si>
    <t>The Score Calculator (V2) can be completed end-to-end and produces a score report without error. (Source: existing verified case TC-D071.)</t>
  </si>
  <si>
    <t>TC-STU-068</t>
  </si>
  <si>
    <t>Verify that the user should be able to complete Score Calculator V1 end-to-end</t>
  </si>
  <si>
    <t>Score Calculator version = V1</t>
  </si>
  <si>
    <t>Score Calculator V1 (exact URL PLACEHOLDER)</t>
  </si>
  <si>
    <t>1. Log in as a student.
2. Open the Score Calculator (V1).
3. Complete all required sections.
4. Submit and view the resulting score report.</t>
  </si>
  <si>
    <t>The Score Calculator (V1) can be completed end-to-end and produces a score report without error. (Source: existing verified case TC-D072.)</t>
  </si>
  <si>
    <t>TC-STU-069</t>
  </si>
  <si>
    <t>Verify that an IELTS Academic user should not be able to re-create the Study Pathway</t>
  </si>
  <si>
    <t>Study Pathway</t>
  </si>
  <si>
    <t>Valid E2 Language student test account/environment on a desktop browser (latest stable Chrome/Firefox/Safari/Edge). Student enrolled in IELTS Academic.</t>
  </si>
  <si>
    <t>Exam type = IELTS Academic</t>
  </si>
  <si>
    <t>Study Pathway (exact URL PLACEHOLDER)</t>
  </si>
  <si>
    <t>1. Log in as a student enrolled in IELTS Academic.
2. Complete (or partially complete) the Study Pathway.
3. Attempt to re-create/reset the Study Pathway.</t>
  </si>
  <si>
    <t>For IELTS Academic, the student cannot re-create the Study Pathway, matching the exam-type-specific business rule. (Source: existing verified case TC-D075. Cross-check against the Admin-side Study Pathway Rules engine, TC-ADM-027.)</t>
  </si>
  <si>
    <t>TC-STU-070</t>
  </si>
  <si>
    <t>Verify that the user should be able to unlock the next skill set after completing one in the Study Pathway</t>
  </si>
  <si>
    <t>1. Log in as a student enrolled in IELTS Academic.
2. Complete a Study Pathway skill set.
3. Attempt to access the next skill set in the sequence.</t>
  </si>
  <si>
    <t>After completing a skill set for IELTS Academic, the next skill set unlocks/becomes accessible as expected. (Source: existing verified case TC-D076.)</t>
  </si>
  <si>
    <t>TC-STU-071</t>
  </si>
  <si>
    <t>Verify that the user should be able to submit a sample practice activity (IELTS Academic)</t>
  </si>
  <si>
    <t>Sample Practice Activity</t>
  </si>
  <si>
    <t>Practice activity (exact URL PLACEHOLDER)</t>
  </si>
  <si>
    <t>1. Log in as a student.
2. Open a practice activity for IELTS Academic.
3. Submit a sample response end-to-end.</t>
  </si>
  <si>
    <t>A sample practice activity for IELTS Academic can be opened and submitted successfully without error. (Source: existing verified case TC-D131; the original suite has 6 such cases across different exam types - this one row represents the pattern.)</t>
  </si>
  <si>
    <t>TC-STU-072</t>
  </si>
  <si>
    <t>Verify that the user should be able to see video tooltips on lesson tiles (Non-IELTS Academic)</t>
  </si>
  <si>
    <t>Video Tooltips</t>
  </si>
  <si>
    <t>Valid E2 Language student test account/environment on a desktop browser (latest stable Chrome/Firefox/Safari/Edge). Student enrolled in Non-IELTS Academic.</t>
  </si>
  <si>
    <t>Exam type = Non-IELTS Academic</t>
  </si>
  <si>
    <t>Course Materials (exact URL PLACEHOLDER)</t>
  </si>
  <si>
    <t>1. Log in as a student enrolled in Non-IELTS Academic.
2. Navigate to Course Materials.
3. Hover/check lesson tiles for video tooltips.</t>
  </si>
  <si>
    <t>For Non-IELTS Academic, video tooltips are correctly shown on applicable lesson tiles. (Source: existing verified case TC-D154 - note the exam-type-specific behavior is inverted for IELTS Academic, TC-D155.)</t>
  </si>
  <si>
    <t>TC-STU-073</t>
  </si>
  <si>
    <t>Verify that the user should be able to log in with Google Social Login (desktop)</t>
  </si>
  <si>
    <t>Login &amp; Authentication - Social Login</t>
  </si>
  <si>
    <t>No active session (logged out). Paid or free student account with Google Social Login enabled. Desktop browser (latest stable Chrome/Firefox/Safari/Edge).</t>
  </si>
  <si>
    <t>A student account linked to a Google account (Google account credentials required - not held in this sheet; source a test Google account separately).</t>
  </si>
  <si>
    <t>https://azdopl-rc-adminapp.e2language.com/Account/Login (the 'Login with Google' button is present on this page - confirmed live during the desktop Student smoke-test pass on 2026-09-08)</t>
  </si>
  <si>
    <t>1. Navigate to the shared login page.
2. Click 'Login with Google'.
3. Complete the Google OAuth consent flow.
4. Confirm the Student dashboard loads.
5. Log out and confirm the session ends.</t>
  </si>
  <si>
    <t>Login and logout succeed via Google Social Login on desktop, redirecting to the Student dashboard, matching the mobile equivalent (TC-MOB-002).
Automation note: real third-party OAuth (bot detection, possible MFA) - classified Manual, consistent with the Manual classification already used for TC-MOB-002.</t>
  </si>
  <si>
    <t>TC-STU-074</t>
  </si>
  <si>
    <t>Verify that the user should be able to log in with Facebook Social Login (desktop)</t>
  </si>
  <si>
    <t>No active session (logged out). Paid or free student account with Facebook Social Login enabled. Desktop browser (latest stable Chrome/Firefox/Safari/Edge).</t>
  </si>
  <si>
    <t>A student account linked to a Facebook account (Facebook account credentials required - not held in this sheet; source a test Facebook account separately).</t>
  </si>
  <si>
    <t>https://azdopl-rc-adminapp.e2language.com/Account/Login (the 'Login with Facebook' button is present on this page - confirmed live during the desktop Student smoke-test pass on 2026-09-08)</t>
  </si>
  <si>
    <t>1. Navigate to the shared login page.
2. Click 'Login with Facebook'.
3. Complete the Facebook OAuth consent flow.
4. Confirm the Student dashboard loads.
5. Log out and confirm the session ends.</t>
  </si>
  <si>
    <t>Login and logout succeed via Facebook Social Login on desktop, redirecting to the Student dashboard, matching the mobile equivalent (TC-MOB-003).
Automation note: real third-party OAuth - classified Manual, consistent with the Manual classification already used for TC-MOB-003.</t>
  </si>
  <si>
    <t>TC-MOB-001</t>
  </si>
  <si>
    <t>Valid E2 Language student test account/environment on a desktop browser (latest stable Chrome/Firefox/Safari/Edge). Mobile web browser (m.app.e2language.com per confirmed architecture doc). Paid student test account.</t>
  </si>
  <si>
    <t>Username/Password (source: existing verified case TC-M007)</t>
  </si>
  <si>
    <t>https://m.app.e2language.com (production hostname, confirmed per wiki architecture doc; exact staging mobile host PLACEHOLDER - not independently verified live, only the desktop staging hosts were).</t>
  </si>
  <si>
    <t>1. Navigate to the mobile login page.
2. Log in as a paid student using Username and Password.
3. Confirm the mobile dashboard loads.
4. Log out.</t>
  </si>
  <si>
    <t>Login and logout succeed on the mobile web experience. (Source: existing verified case TC-M007 in the original 223-case suite.)</t>
  </si>
  <si>
    <t>TC-MOB-002</t>
  </si>
  <si>
    <t>Valid E2 Language student test account/environment on a desktop browser (latest stable Chrome/Firefox/Safari/Edge). Paid student account with Google social login enabled.</t>
  </si>
  <si>
    <t>Google account credentials (source: TC-M008)</t>
  </si>
  <si>
    <t>https://m.app.e2language.com (PLACEHOLDER exact staging host)</t>
  </si>
  <si>
    <t>1. Navigate to the mobile login page.
2. Log in as a paid student using Google Social login.
3. Confirm the mobile dashboard loads.
4. Log out.</t>
  </si>
  <si>
    <t>Login and logout succeed via Google Social login on mobile. Real-OAuth automation caveat applies (bot detection, possible MFA) - classified Manual. (Source: existing verified case TC-M008.)</t>
  </si>
  <si>
    <t>TC-MOB-003</t>
  </si>
  <si>
    <t>Valid E2 Language student test account/environment on a desktop browser (latest stable Chrome/Firefox/Safari/Edge). Paid student account with Facebook social login enabled.</t>
  </si>
  <si>
    <t>Facebook account credentials (source: TC-M009)</t>
  </si>
  <si>
    <t>1. Navigate to the mobile login page.
2. Log in as a paid student using Facebook Social login.
3. Confirm the mobile dashboard loads.
4. Log out.</t>
  </si>
  <si>
    <t>Login and logout succeed via Facebook Social login on mobile. Real-OAuth automation caveat applies - classified Manual. (Source: existing verified case TC-M009.)</t>
  </si>
  <si>
    <t>TC-MOB-004</t>
  </si>
  <si>
    <t>Content Tool - Login (SSO)</t>
  </si>
  <si>
    <t>Username/Password (source: TC-M010)</t>
  </si>
  <si>
    <t>Content Tool activity on mobile (exact URL PLACEHOLDER)</t>
  </si>
  <si>
    <t>1. On mobile, log in with Username and Password.
2. Open a Content Tool activity.
3. Confirm SSO login to E2V2 succeeds.</t>
  </si>
  <si>
    <t>The student using Username and Password successfully logs in to E2V2 with CT SSO on mobile. (Source: existing verified case TC-M010.)</t>
  </si>
  <si>
    <t>TC-MOB-005</t>
  </si>
  <si>
    <t>Content Tool - Login (ROPC)</t>
  </si>
  <si>
    <t>Valid E2 Language student test account/environment on a desktop browser (latest stable Chrome/Firefox/Safari/Edge). Free CELPIP/GRE/SAT student who just registered (ROPC scope constraint applies on mobile too).</t>
  </si>
  <si>
    <t>Username/Password (source: TC-M011)</t>
  </si>
  <si>
    <t>1. On mobile, register using Username and Password as a free CELPIP/GRE/SAT student.
2. Open the Content Tool activity.
3. Confirm access without a second login prompt (ROPC).</t>
  </si>
  <si>
    <t>The student successfully registers to E2V2 and accesses the activity via CT ROPC on mobile. (Source: existing verified case TC-M011.)</t>
  </si>
  <si>
    <t>TC-MOB-006</t>
  </si>
  <si>
    <t>Content Tool - Login (ROPC, social)</t>
  </si>
  <si>
    <t>Valid E2 Language student test account/environment on a desktop browser (latest stable Chrome/Firefox/Safari/Edge). Free CELPIP/GRE/SAT student registering via Social Login.</t>
  </si>
  <si>
    <t>Social Login (source: TC-M012)</t>
  </si>
  <si>
    <t>1. On mobile, register using Social Login as a free CELPIP/GRE/SAT student.
2. Open the Content Tool activity.
3. Confirm access without a second login prompt (ROPC).</t>
  </si>
  <si>
    <t>The student successfully registers to E2V2 and accesses the activity via CT ROPC on mobile using Social Login. Real-OAuth automation caveat applies - classified Manual. (Source: existing verified case TC-M012.)</t>
  </si>
  <si>
    <t>TC-MOB-007</t>
  </si>
  <si>
    <t>Content Tool - Login (SSO, social)</t>
  </si>
  <si>
    <t>Social Login (source: TC-M013)</t>
  </si>
  <si>
    <t>1. On mobile, log in using Social Login.
2. Open a Content Tool activity.
3. Confirm SSO login to E2V2 succeeds.</t>
  </si>
  <si>
    <t>The student using Social Login successfully logs in to E2V2 with CT SSO on mobile. Real-OAuth automation caveat applies - classified Manual. (Source: existing verified case TC-M013.)</t>
  </si>
  <si>
    <t>TC-MOB-008</t>
  </si>
  <si>
    <t>Content Tool - Activity Access</t>
  </si>
  <si>
    <t>1. On mobile, navigate to a Content Tool activity.
2. Confirm the activity is accessible and renders correctly on a mobile viewport.</t>
  </si>
  <si>
    <t>The student is able to access the Content Tool activity on mobile. (Source: existing verified case TC-M014.)</t>
  </si>
  <si>
    <t>TC-MOB-009</t>
  </si>
  <si>
    <t>No existing account for the test email; mobile browser.</t>
  </si>
  <si>
    <t>Fresh unique email; free package (source: TC-M001)</t>
  </si>
  <si>
    <t>Mobile registration page (exact URL PLACEHOLDER)</t>
  </si>
  <si>
    <t>1. Navigate to the mobile registration page.
2. Register as a free student using Username and Password.</t>
  </si>
  <si>
    <t>Registration succeeds on mobile using Username and Password. (Source: existing verified case TC-M001; TC-M002-M006 cover the same flow via Facebook and Google Social login, in both orderings - same real-OAuth caveat applies to those, classified Manual.)</t>
  </si>
  <si>
    <t>TC-MOB-010</t>
  </si>
  <si>
    <t>Navigation</t>
  </si>
  <si>
    <t>Mobile dashboard (exact URL PLACEHOLDER)</t>
  </si>
  <si>
    <t>1. Log in as a student on mobile.
2. Click through each navigation menu item.
3. Confirm each destination page loads correctly.</t>
  </si>
  <si>
    <t>All navigation menus are accessible and redirect to the correct page on mobile. (Source: existing verified cases TC-M064/TC-M065.)</t>
  </si>
  <si>
    <t>TC-MOB-011</t>
  </si>
  <si>
    <t>Onboarding</t>
  </si>
  <si>
    <t>New free student account; mobile browser.</t>
  </si>
  <si>
    <t>Mobile onboarding checklist (exact URL PLACEHOLDER)</t>
  </si>
  <si>
    <t>1. Log in as a new free student on mobile.
2. Open the onboarding checklist.
3. Complete each onboarding task.
4. Check the recent score/summary view.</t>
  </si>
  <si>
    <t>All onboarding tasks can be submitted successfully and the recent score is displayed correctly afterward on mobile. (Source: existing verified case TC-M066.)</t>
  </si>
  <si>
    <t>TC-MOB-012</t>
  </si>
  <si>
    <t>Payment - New Registration</t>
  </si>
  <si>
    <t>Card 1, CVV 123, any future expiry (same Shopify test-gateway convention confirmed on desktop).</t>
  </si>
  <si>
    <t>Mobile registration -&gt; Payment Information page (exact URL PLACEHOLDER)</t>
  </si>
  <si>
    <t>1. Register on mobile through to the Payment Information page.
2. Select 'Credit/debit card' and pay with card 1.</t>
  </si>
  <si>
    <t>Payment is approved and the new student account is created on mobile, mirroring the desktop registration payment logic. (Module confirmed present in the original suite's Mobile Environment sheet, 6 cases - not independently re-verified live on mobile; the underlying payment mechanism is shared with desktop per the architecture doc's single API gateway.)</t>
  </si>
  <si>
    <t>TC-MOB-013</t>
  </si>
  <si>
    <t>Student on a free package; mobile browser.</t>
  </si>
  <si>
    <t>Card 1 for checkout.</t>
  </si>
  <si>
    <t>Mobile Upgrade flow (exact URL PLACEHOLDER)</t>
  </si>
  <si>
    <t>1. Log in as a free student on mobile.
2. Navigate to Upgrade.
3. Complete an F2P upgrade with card 1.</t>
  </si>
  <si>
    <t>The upgrade completes on mobile, mirroring the desktop F2P/P2P pricing logic (module confirmed present in the original suite's Mobile Environment sheet, 6 cases - not independently re-verified live on mobile).</t>
  </si>
  <si>
    <t>TC-MOB-014</t>
  </si>
  <si>
    <t>Add-on: Tutorial Session.</t>
  </si>
  <si>
    <t>Mobile E2 Shop (exact URL PLACEHOLDER)</t>
  </si>
  <si>
    <t>1. Log in as a student on mobile.
2. Purchase the Tutorial Session add-on via E2 Shop.</t>
  </si>
  <si>
    <t>The add-on purchase completes on mobile (module confirmed present in the original suite's Mobile Environment sheet, 6 cases - not independently re-verified live on mobile).</t>
  </si>
  <si>
    <t>TC-MOB-015</t>
  </si>
  <si>
    <t>Student on the Express package; mobile browser.</t>
  </si>
  <si>
    <t>Destination: Power (Express -&gt; Power confirmed blocked on desktop, per the QA-authored matrix).</t>
  </si>
  <si>
    <t>Mobile Upgrade / package selection (exact URL PLACEHOLDER)</t>
  </si>
  <si>
    <t>1. Log in as the Express student on mobile.
2. Attempt to upgrade to Power.</t>
  </si>
  <si>
    <t>The blocked-upgrade suggestion-page behavior mirrors desktop (module confirmed present in the original suite's Mobile Environment sheet, 3 cases - not independently re-verified live on mobile; assumed shared backend logic per the confirmed single API gateway architecture, but the mobile UI presentation was not independently checked).</t>
  </si>
  <si>
    <t>TC-MOB-016</t>
  </si>
  <si>
    <t>Valid E2 Language student test account/environment on a desktop browser (latest stable Chrome/Firefox/Safari/Edge). Student registered for an upcoming live class; mobile browser.</t>
  </si>
  <si>
    <t>Mobile Live Class menu (exact URL PLACEHOLDER)</t>
  </si>
  <si>
    <t>1. Log in as a student on mobile.
2. Navigate to Live Class.
3. Join an in-progress class.</t>
  </si>
  <si>
    <t>The live class join flow works on mobile. NOTE: the original suite's Mobile Environment sheet has 28 Live Class cases (by far its largest module) - this single row represents the pattern; the specific 28-case breakdown (registration/unregistration/join variants per package tier) was not individually re-read for this deliverable. Treat mobile Live Class as an area needing its own deeper pass if it's high-priority.</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</si>
</sst>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4.0"/>
      <color rgb="FF1F4E78"/>
      <name val="Cambria"/>
    </font>
    <font>
      <b/>
      <sz val="11.0"/>
      <color rgb="FFFFFFFF"/>
      <name val="Cambria"/>
    </font>
    <font>
      <sz val="11.0"/>
      <color theme="1"/>
      <name val="Calibri"/>
    </font>
    <font>
      <b/>
      <sz val="11.0"/>
      <color rgb="FF1F4E78"/>
      <name val="Cambria"/>
    </font>
    <font>
      <i/>
      <sz val="9.0"/>
      <color rgb="FF555555"/>
      <name val="Cambria"/>
    </font>
    <font>
      <i/>
      <sz val="11.0"/>
      <color theme="1"/>
      <name val="Calibri"/>
    </font>
    <font>
      <b/>
      <sz val="11.0"/>
      <color rgb="FFC00000"/>
      <name val="Calibri"/>
    </font>
    <font>
      <u/>
      <sz val="11.0"/>
      <color rgb="FF0000FF"/>
      <name val="Cambria"/>
    </font>
    <font>
      <u/>
      <sz val="11.0"/>
      <color rgb="FF0000FF"/>
      <name val="Calibri"/>
    </font>
    <font>
      <b/>
      <sz val="11.0"/>
      <color rgb="FF1F4E78"/>
      <name val="Calibri"/>
    </font>
    <font>
      <b/>
      <sz val="10.0"/>
      <color rgb="FFFFFFFF"/>
      <name val="Cambria"/>
    </font>
  </fonts>
  <fills count="8">
    <fill>
      <patternFill patternType="none"/>
    </fill>
    <fill>
      <patternFill patternType="lightGray"/>
    </fill>
    <fill>
      <patternFill patternType="solid">
        <fgColor rgb="FF1F4E78"/>
        <bgColor rgb="FF1F4E78"/>
      </patternFill>
    </fill>
    <fill>
      <patternFill patternType="solid">
        <fgColor rgb="FFFFF2CC"/>
        <bgColor rgb="FFFFF2CC"/>
      </patternFill>
    </fill>
    <fill>
      <patternFill patternType="solid">
        <fgColor rgb="FFE2EFDA"/>
        <bgColor rgb="FFE2EFDA"/>
      </patternFill>
    </fill>
    <fill>
      <patternFill patternType="solid">
        <fgColor rgb="FFDDEBF7"/>
        <bgColor rgb="FFDDEBF7"/>
      </patternFill>
    </fill>
    <fill>
      <patternFill patternType="solid">
        <fgColor rgb="FFF2F2F2"/>
        <bgColor rgb="FFF2F2F2"/>
      </patternFill>
    </fill>
    <fill>
      <patternFill patternType="solid">
        <fgColor rgb="FFFCE4D6"/>
        <bgColor rgb="FFFCE4D6"/>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top" wrapText="1"/>
    </xf>
    <xf borderId="1" fillId="0" fontId="3" numFmtId="0" xfId="0" applyAlignment="1" applyBorder="1" applyFont="1">
      <alignment shrinkToFit="0" vertical="top" wrapText="1"/>
    </xf>
    <xf borderId="0" fillId="0" fontId="5" numFmtId="0" xfId="0" applyAlignment="1" applyFont="1">
      <alignment shrinkToFit="0" vertical="bottom" wrapText="0"/>
    </xf>
    <xf borderId="0" fillId="0" fontId="4" numFmtId="0" xfId="0" applyAlignment="1" applyFont="1">
      <alignment shrinkToFit="0" vertical="bottom" wrapText="0"/>
    </xf>
    <xf borderId="0" fillId="0" fontId="3" numFmtId="0" xfId="0" applyAlignment="1" applyFont="1">
      <alignment shrinkToFit="0" vertical="top" wrapText="1"/>
    </xf>
    <xf borderId="2" fillId="2" fontId="2" numFmtId="0" xfId="0" applyAlignment="1" applyBorder="1" applyFill="1" applyFont="1">
      <alignment shrinkToFit="0" vertical="center" wrapText="0"/>
    </xf>
    <xf borderId="0" fillId="0" fontId="6" numFmtId="0" xfId="0" applyAlignment="1" applyFont="1">
      <alignment shrinkToFit="0" vertical="top" wrapText="1"/>
    </xf>
    <xf borderId="1" fillId="3" fontId="3" numFmtId="0" xfId="0" applyAlignment="1" applyBorder="1" applyFill="1" applyFont="1">
      <alignment shrinkToFit="0" vertical="top" wrapText="1"/>
    </xf>
    <xf borderId="1" fillId="0" fontId="7" numFmtId="0" xfId="0" applyAlignment="1" applyBorder="1" applyFont="1">
      <alignment shrinkToFit="0" vertical="top" wrapText="1"/>
    </xf>
    <xf borderId="1" fillId="2" fontId="3" numFmtId="0" xfId="0" applyAlignment="1" applyBorder="1" applyFill="1" applyFont="1">
      <alignment shrinkToFit="0" vertical="bottom" wrapText="0"/>
    </xf>
    <xf borderId="0" fillId="0" fontId="8" numFmtId="0" xfId="0" applyAlignment="1" applyFont="1">
      <alignment shrinkToFit="0" vertical="bottom" wrapText="0"/>
    </xf>
    <xf borderId="1" fillId="0" fontId="9" numFmtId="0" xfId="0" applyAlignment="1" applyBorder="1" applyFont="1">
      <alignment shrinkToFit="0" vertical="top" wrapText="1"/>
    </xf>
    <xf borderId="0" fillId="0" fontId="10" numFmtId="0" xfId="0" applyAlignment="1" applyFont="1">
      <alignment shrinkToFit="0" vertical="top" wrapText="1"/>
    </xf>
    <xf borderId="0" fillId="0" fontId="3" numFmtId="0" xfId="0" applyAlignment="1" applyFont="1">
      <alignment shrinkToFit="0" vertical="top" wrapText="0"/>
    </xf>
    <xf borderId="2" fillId="2" fontId="2" numFmtId="0" xfId="0" applyAlignment="1" applyBorder="1" applyFill="1" applyFont="1">
      <alignment shrinkToFit="0" vertical="top" wrapText="1"/>
    </xf>
    <xf borderId="1" fillId="2" fontId="11" numFmtId="0" xfId="0" applyAlignment="1" applyBorder="1" applyFill="1" applyFont="1">
      <alignment horizontal="center" shrinkToFit="0" vertical="center" wrapText="1"/>
    </xf>
    <xf borderId="1" fillId="0" fontId="3" numFmtId="0" xfId="0" applyAlignment="1" applyBorder="1" applyFont="1">
      <alignment horizontal="left" shrinkToFit="0" vertical="top" wrapText="1"/>
    </xf>
    <xf borderId="1" fillId="4" fontId="3" numFmtId="0" xfId="0" applyAlignment="1" applyBorder="1" applyFill="1" applyFont="1">
      <alignment horizontal="left" shrinkToFit="0" vertical="top" wrapText="1"/>
    </xf>
    <xf borderId="1" fillId="5" fontId="3" numFmtId="0" xfId="0" applyAlignment="1" applyBorder="1" applyFill="1" applyFont="1">
      <alignment horizontal="left" shrinkToFit="0" vertical="top" wrapText="1"/>
    </xf>
    <xf borderId="1" fillId="6" fontId="3" numFmtId="0" xfId="0" applyAlignment="1" applyBorder="1" applyFill="1" applyFont="1">
      <alignment horizontal="left" shrinkToFit="0" vertical="top" wrapText="1"/>
    </xf>
    <xf borderId="1" fillId="3" fontId="3" numFmtId="0" xfId="0" applyAlignment="1" applyBorder="1" applyFill="1" applyFont="1">
      <alignment horizontal="left" shrinkToFit="0" vertical="top" wrapText="1"/>
    </xf>
    <xf borderId="1" fillId="2" fontId="11" numFmtId="0" xfId="0" applyAlignment="1" applyBorder="1" applyFill="1" applyFont="1">
      <alignment shrinkToFit="0" vertical="bottom" wrapText="0"/>
    </xf>
    <xf borderId="1" fillId="0" fontId="3" numFmtId="0" xfId="0" applyAlignment="1" applyBorder="1" applyFont="1">
      <alignment shrinkToFit="0" vertical="bottom" wrapText="0"/>
    </xf>
    <xf borderId="1" fillId="2" fontId="2" numFmtId="0" xfId="0" applyAlignment="1" applyBorder="1" applyFill="1" applyFont="1">
      <alignment horizontal="center" shrinkToFit="0" vertical="center" wrapText="1"/>
    </xf>
    <xf borderId="1" fillId="0" fontId="3" numFmtId="0" xfId="0" applyAlignment="1" applyBorder="1" applyFont="1">
      <alignment horizontal="left" readingOrder="0" shrinkToFit="0" vertical="top" wrapText="1"/>
    </xf>
    <xf borderId="1" fillId="7" fontId="3"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Test Cases by Role</a:t>
            </a:r>
          </a:p>
        </c:rich>
      </c:tx>
      <c:overlay val="0"/>
    </c:title>
    <c:plotArea>
      <c:layout/>
      <c:barChart>
        <c:barDir val="col"/>
        <c:ser>
          <c:idx val="0"/>
          <c:order val="0"/>
          <c:tx>
            <c:v>Count</c:v>
          </c:tx>
          <c:spPr>
            <a:solidFill>
              <a:srgbClr val="4F81BD"/>
            </a:solidFill>
            <a:ln cmpd="sng">
              <a:noFill/>
            </a:ln>
          </c:spPr>
          <c:cat>
            <c:strRef>
              <c:f>Dashboard!$A$6:$A$9</c:f>
            </c:strRef>
          </c:cat>
          <c:val>
            <c:numRef>
              <c:f>Dashboard!$B$6:$B$9</c:f>
              <c:numCache/>
            </c:numRef>
          </c:val>
        </c:ser>
        <c:axId val="843878616"/>
        <c:axId val="341950257"/>
      </c:barChart>
      <c:catAx>
        <c:axId val="843878616"/>
        <c:scaling>
          <c:orientation val="minMax"/>
        </c:scaling>
        <c:delete val="0"/>
        <c:axPos val="b"/>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41950257"/>
      </c:catAx>
      <c:valAx>
        <c:axId val="34195025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Count</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843878616"/>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Smoke vs Regression</a:t>
            </a:r>
          </a:p>
        </c:rich>
      </c:tx>
      <c:overlay val="0"/>
    </c:title>
    <c:plotArea>
      <c:layout/>
      <c:pieChart>
        <c:varyColors val="1"/>
        <c:ser>
          <c:idx val="0"/>
          <c:order val="0"/>
          <c:tx>
            <c:strRef>
              <c:f>Dashboard!$B$12</c:f>
            </c:strRef>
          </c:tx>
          <c:dPt>
            <c:idx val="0"/>
            <c:spPr>
              <a:solidFill>
                <a:srgbClr val="4F81BD"/>
              </a:solidFill>
            </c:spPr>
          </c:dPt>
          <c:dPt>
            <c:idx val="1"/>
            <c:spPr>
              <a:solidFill>
                <a:srgbClr val="C0504D"/>
              </a:solidFill>
            </c:spPr>
          </c:dPt>
          <c:dLbls>
            <c:dLbl>
              <c:idx val="0"/>
              <c:txPr>
                <a:bodyPr/>
                <a:lstStyle/>
                <a:p>
                  <a:pPr lvl="0">
                    <a:defRPr b="0" i="0" sz="1000">
                      <a:solidFill>
                        <a:srgbClr val="000000"/>
                      </a:solidFill>
                      <a:latin typeface="Arial"/>
                    </a:defRPr>
                  </a:pPr>
                </a:p>
              </c:txPr>
              <c:showLegendKey val="0"/>
              <c:showVal val="0"/>
              <c:showCatName val="0"/>
              <c:showSerName val="0"/>
              <c:showPercent val="0"/>
              <c:showBubbleSize val="0"/>
            </c:dLbl>
            <c:dLbl>
              <c:idx val="1"/>
              <c:txPr>
                <a:bodyPr/>
                <a:lstStyle/>
                <a:p>
                  <a:pPr lvl="0">
                    <a:defRPr b="0" i="0" sz="1000">
                      <a:solidFill>
                        <a:srgbClr val="000000"/>
                      </a:solidFill>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Dashboard!$A$13:$A$14</c:f>
            </c:strRef>
          </c:cat>
          <c:val>
            <c:numRef>
              <c:f>Dashboard!$B$13:$B$14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Automation vs Manual</a:t>
            </a:r>
          </a:p>
        </c:rich>
      </c:tx>
      <c:overlay val="0"/>
    </c:title>
    <c:plotArea>
      <c:layout/>
      <c:pieChart>
        <c:varyColors val="1"/>
        <c:ser>
          <c:idx val="0"/>
          <c:order val="0"/>
          <c:tx>
            <c:strRef>
              <c:f>Dashboard!$B$17</c:f>
            </c:strRef>
          </c:tx>
          <c:dPt>
            <c:idx val="0"/>
            <c:spPr>
              <a:solidFill>
                <a:srgbClr val="4F81BD"/>
              </a:solidFill>
            </c:spPr>
          </c:dPt>
          <c:dPt>
            <c:idx val="1"/>
            <c:spPr>
              <a:solidFill>
                <a:srgbClr val="C0504D"/>
              </a:solidFill>
            </c:spPr>
          </c:dPt>
          <c:dLbls>
            <c:dLbl>
              <c:idx val="0"/>
              <c:txPr>
                <a:bodyPr/>
                <a:lstStyle/>
                <a:p>
                  <a:pPr lvl="0">
                    <a:defRPr b="0" i="0" sz="1000">
                      <a:solidFill>
                        <a:srgbClr val="000000"/>
                      </a:solidFill>
                      <a:latin typeface="Arial"/>
                    </a:defRPr>
                  </a:pPr>
                </a:p>
              </c:txPr>
              <c:showLegendKey val="0"/>
              <c:showVal val="0"/>
              <c:showCatName val="0"/>
              <c:showSerName val="0"/>
              <c:showPercent val="0"/>
              <c:showBubbleSize val="0"/>
            </c:dLbl>
            <c:dLbl>
              <c:idx val="1"/>
              <c:txPr>
                <a:bodyPr/>
                <a:lstStyle/>
                <a:p>
                  <a:pPr lvl="0">
                    <a:defRPr b="0" i="0" sz="1000">
                      <a:solidFill>
                        <a:srgbClr val="000000"/>
                      </a:solidFill>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Dashboard!$A$18:$A$19</c:f>
            </c:strRef>
          </c:cat>
          <c:val>
            <c:numRef>
              <c:f>Dashboard!$B$18:$B$19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Test Cases by Priority</a:t>
            </a:r>
          </a:p>
        </c:rich>
      </c:tx>
      <c:overlay val="0"/>
    </c:title>
    <c:plotArea>
      <c:layout/>
      <c:barChart>
        <c:barDir val="col"/>
        <c:ser>
          <c:idx val="0"/>
          <c:order val="0"/>
          <c:tx>
            <c:v>Count</c:v>
          </c:tx>
          <c:spPr>
            <a:solidFill>
              <a:srgbClr val="4F81BD"/>
            </a:solidFill>
            <a:ln cmpd="sng">
              <a:noFill/>
            </a:ln>
          </c:spPr>
          <c:cat>
            <c:strRef>
              <c:f>Dashboard!$A$23:$A$25</c:f>
            </c:strRef>
          </c:cat>
          <c:val>
            <c:numRef>
              <c:f>Dashboard!$B$23:$B$25</c:f>
              <c:numCache/>
            </c:numRef>
          </c:val>
        </c:ser>
        <c:axId val="1906547828"/>
        <c:axId val="1846442685"/>
      </c:barChart>
      <c:catAx>
        <c:axId val="1906547828"/>
        <c:scaling>
          <c:orientation val="minMax"/>
        </c:scaling>
        <c:delete val="0"/>
        <c:axPos val="b"/>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846442685"/>
      </c:catAx>
      <c:valAx>
        <c:axId val="184644268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Count</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1906547828"/>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Test Cases by Status</a:t>
            </a:r>
          </a:p>
        </c:rich>
      </c:tx>
      <c:overlay val="0"/>
    </c:title>
    <c:plotArea>
      <c:layout/>
      <c:barChart>
        <c:barDir val="col"/>
        <c:ser>
          <c:idx val="0"/>
          <c:order val="0"/>
          <c:tx>
            <c:v>Count</c:v>
          </c:tx>
          <c:spPr>
            <a:solidFill>
              <a:srgbClr val="4F81BD"/>
            </a:solidFill>
            <a:ln cmpd="sng">
              <a:noFill/>
            </a:ln>
          </c:spPr>
          <c:cat>
            <c:strRef>
              <c:f>Dashboard!$A$29:$A$32</c:f>
            </c:strRef>
          </c:cat>
          <c:val>
            <c:numRef>
              <c:f>Dashboard!$B$29:$B$32</c:f>
              <c:numCache/>
            </c:numRef>
          </c:val>
        </c:ser>
        <c:axId val="895069866"/>
        <c:axId val="1957231210"/>
      </c:barChart>
      <c:catAx>
        <c:axId val="895069866"/>
        <c:scaling>
          <c:orientation val="minMax"/>
        </c:scaling>
        <c:delete val="0"/>
        <c:axPos val="b"/>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57231210"/>
      </c:catAx>
      <c:valAx>
        <c:axId val="195723121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Count</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895069866"/>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114300</xdr:rowOff>
    </xdr:from>
    <xdr:ext cx="3228975" cy="28765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18</xdr:row>
      <xdr:rowOff>114300</xdr:rowOff>
    </xdr:from>
    <xdr:ext cx="3228975" cy="28479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34</xdr:row>
      <xdr:rowOff>114300</xdr:rowOff>
    </xdr:from>
    <xdr:ext cx="3228975" cy="283845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50</xdr:row>
      <xdr:rowOff>114300</xdr:rowOff>
    </xdr:from>
    <xdr:ext cx="3228975" cy="2838450"/>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66</xdr:row>
      <xdr:rowOff>114300</xdr:rowOff>
    </xdr:from>
    <xdr:ext cx="3228975" cy="2838450"/>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zdopl-rc-registrationapp.e2language.com/Registration/SignUp?examTypeCode=PT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2.0"/>
    <col customWidth="1" min="2" max="6" width="8.71"/>
  </cols>
  <sheetData>
    <row r="1" ht="17.25" customHeight="1">
      <c r="A1" s="1" t="s">
        <v>2</v>
      </c>
      <c r="B1" s="3"/>
      <c r="C1" s="3"/>
      <c r="D1" s="3"/>
      <c r="E1" s="3"/>
      <c r="F1" s="3"/>
    </row>
    <row r="2" ht="15.0" customHeight="1">
      <c r="A2" s="6" t="s">
        <v>29</v>
      </c>
      <c r="B2" s="3"/>
      <c r="C2" s="3"/>
      <c r="D2" s="3"/>
      <c r="E2" s="3"/>
      <c r="F2" s="3"/>
    </row>
    <row r="3">
      <c r="A3" s="3"/>
      <c r="B3" s="3"/>
      <c r="C3" s="3"/>
      <c r="D3" s="3"/>
      <c r="E3" s="3"/>
      <c r="F3" s="3"/>
    </row>
    <row r="4" ht="41.25" customHeight="1">
      <c r="A4" s="8" t="s">
        <v>41</v>
      </c>
      <c r="B4" s="3"/>
      <c r="C4" s="3"/>
      <c r="D4" s="3"/>
      <c r="E4" s="3"/>
      <c r="F4" s="3"/>
    </row>
    <row r="5" ht="15.0" customHeight="1">
      <c r="A5" s="8"/>
      <c r="B5" s="3"/>
      <c r="C5" s="3"/>
      <c r="D5" s="3"/>
      <c r="E5" s="3"/>
      <c r="F5" s="3"/>
    </row>
    <row r="6" ht="122.25" customHeight="1">
      <c r="A6" s="8" t="s">
        <v>53</v>
      </c>
      <c r="B6" s="3"/>
      <c r="C6" s="3"/>
      <c r="D6" s="3"/>
      <c r="E6" s="3"/>
      <c r="F6" s="3"/>
    </row>
    <row r="7" ht="175.5" customHeight="1">
      <c r="A7" s="8" t="s">
        <v>72</v>
      </c>
      <c r="B7" s="3"/>
      <c r="C7" s="3"/>
      <c r="D7" s="3"/>
      <c r="E7" s="3"/>
      <c r="F7" s="3"/>
    </row>
    <row r="8" ht="15.0" customHeight="1">
      <c r="A8" s="8"/>
      <c r="B8" s="3"/>
      <c r="C8" s="3"/>
      <c r="D8" s="3"/>
      <c r="E8" s="3"/>
      <c r="F8" s="3"/>
    </row>
    <row r="9" ht="54.75" customHeight="1">
      <c r="A9" s="8" t="s">
        <v>83</v>
      </c>
      <c r="B9" s="3"/>
      <c r="C9" s="3"/>
      <c r="D9" s="3"/>
      <c r="E9" s="3"/>
      <c r="F9" s="3"/>
    </row>
    <row r="10" ht="15.0" customHeight="1">
      <c r="A10" s="8"/>
      <c r="B10" s="3"/>
      <c r="C10" s="3"/>
      <c r="D10" s="3"/>
      <c r="E10" s="3"/>
      <c r="F10" s="3"/>
    </row>
    <row r="11" ht="81.75" customHeight="1">
      <c r="A11" s="8" t="s">
        <v>98</v>
      </c>
      <c r="B11" s="3"/>
      <c r="C11" s="3"/>
      <c r="D11" s="3"/>
      <c r="E11" s="3"/>
      <c r="F11" s="3"/>
    </row>
    <row r="12">
      <c r="A12" s="3"/>
      <c r="B12" s="3"/>
      <c r="C12" s="3"/>
      <c r="D12" s="3"/>
      <c r="E12" s="3"/>
      <c r="F12" s="3"/>
    </row>
    <row r="13">
      <c r="A13" s="3"/>
      <c r="B13" s="3"/>
      <c r="C13" s="3"/>
      <c r="D13" s="3"/>
      <c r="E13" s="3"/>
      <c r="F13" s="3"/>
    </row>
    <row r="14">
      <c r="A14" s="3"/>
      <c r="B14" s="3"/>
      <c r="C14" s="3"/>
      <c r="D14" s="3"/>
      <c r="E14" s="3"/>
      <c r="F14" s="3"/>
    </row>
    <row r="15">
      <c r="A15" s="3"/>
      <c r="B15" s="3"/>
      <c r="C15" s="3"/>
      <c r="D15" s="3"/>
      <c r="E15" s="3"/>
      <c r="F15" s="3"/>
    </row>
    <row r="16">
      <c r="A16" s="3"/>
      <c r="B16" s="3"/>
      <c r="C16" s="3"/>
      <c r="D16" s="3"/>
      <c r="E16" s="3"/>
      <c r="F16" s="3"/>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row r="21" ht="15.75" customHeight="1">
      <c r="A21" s="3"/>
      <c r="B21" s="3"/>
      <c r="C21" s="3"/>
      <c r="D21" s="3"/>
      <c r="E21" s="3"/>
      <c r="F21" s="3"/>
    </row>
    <row r="22" ht="15.75" customHeight="1">
      <c r="A22" s="3"/>
      <c r="B22" s="3"/>
      <c r="C22" s="3"/>
      <c r="D22" s="3"/>
      <c r="E22" s="3"/>
      <c r="F22" s="3"/>
    </row>
    <row r="23" ht="15.75" customHeight="1">
      <c r="A23" s="3"/>
      <c r="B23" s="3"/>
      <c r="C23" s="3"/>
      <c r="D23" s="3"/>
      <c r="E23" s="3"/>
      <c r="F23" s="3"/>
    </row>
    <row r="24" ht="15.75" customHeight="1">
      <c r="A24" s="3"/>
      <c r="B24" s="3"/>
      <c r="C24" s="3"/>
      <c r="D24" s="3"/>
      <c r="E24" s="3"/>
      <c r="F24" s="3"/>
    </row>
    <row r="25" ht="15.75" customHeight="1">
      <c r="A25" s="3"/>
      <c r="B25" s="3"/>
      <c r="C25" s="3"/>
      <c r="D25" s="3"/>
      <c r="E25" s="3"/>
      <c r="F25" s="3"/>
    </row>
    <row r="26" ht="15.75" customHeight="1">
      <c r="A26" s="3"/>
      <c r="B26" s="3"/>
      <c r="C26" s="3"/>
      <c r="D26" s="3"/>
      <c r="E26" s="3"/>
      <c r="F26" s="3"/>
    </row>
    <row r="27" ht="15.75" customHeight="1">
      <c r="A27" s="3"/>
      <c r="B27" s="3"/>
      <c r="C27" s="3"/>
      <c r="D27" s="3"/>
      <c r="E27" s="3"/>
      <c r="F27" s="3"/>
    </row>
    <row r="28" ht="15.75" customHeight="1">
      <c r="A28" s="3"/>
      <c r="B28" s="3"/>
      <c r="C28" s="3"/>
      <c r="D28" s="3"/>
      <c r="E28" s="3"/>
      <c r="F28" s="3"/>
    </row>
    <row r="29" ht="15.75" customHeight="1">
      <c r="A29" s="3"/>
      <c r="B29" s="3"/>
      <c r="C29" s="3"/>
      <c r="D29" s="3"/>
      <c r="E29" s="3"/>
      <c r="F29" s="3"/>
    </row>
    <row r="30" ht="15.75" customHeight="1">
      <c r="A30" s="3"/>
      <c r="B30" s="3"/>
      <c r="C30" s="3"/>
      <c r="D30" s="3"/>
      <c r="E30" s="3"/>
      <c r="F30" s="3"/>
    </row>
    <row r="31" ht="15.75" customHeight="1">
      <c r="A31" s="3"/>
      <c r="B31" s="3"/>
      <c r="C31" s="3"/>
      <c r="D31" s="3"/>
      <c r="E31" s="3"/>
      <c r="F31" s="3"/>
    </row>
    <row r="32" ht="15.75" customHeight="1">
      <c r="A32" s="3"/>
      <c r="B32" s="3"/>
      <c r="C32" s="3"/>
      <c r="D32" s="3"/>
      <c r="E32" s="3"/>
      <c r="F32" s="3"/>
    </row>
    <row r="33" ht="15.75" customHeight="1">
      <c r="A33" s="3"/>
      <c r="B33" s="3"/>
      <c r="C33" s="3"/>
      <c r="D33" s="3"/>
      <c r="E33" s="3"/>
      <c r="F33" s="3"/>
    </row>
    <row r="34" ht="15.75" customHeight="1">
      <c r="A34" s="3"/>
      <c r="B34" s="3"/>
      <c r="C34" s="3"/>
      <c r="D34" s="3"/>
      <c r="E34" s="3"/>
      <c r="F34" s="3"/>
    </row>
    <row r="35" ht="15.75" customHeight="1">
      <c r="A35" s="3"/>
      <c r="B35" s="3"/>
      <c r="C35" s="3"/>
      <c r="D35" s="3"/>
      <c r="E35" s="3"/>
      <c r="F35" s="3"/>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45.0"/>
    <col customWidth="1" min="3" max="3" width="30.0"/>
    <col customWidth="1" min="4" max="4" width="70.0"/>
    <col customWidth="1" min="5" max="6" width="8.71"/>
  </cols>
  <sheetData>
    <row r="1" ht="18.0" customHeight="1">
      <c r="A1" s="4" t="s">
        <v>1</v>
      </c>
      <c r="B1" s="3"/>
      <c r="C1" s="3"/>
      <c r="D1" s="3"/>
      <c r="E1" s="3"/>
      <c r="F1" s="3"/>
    </row>
    <row r="2" ht="60.0" customHeight="1">
      <c r="A2" s="8" t="s">
        <v>20</v>
      </c>
      <c r="E2" s="3"/>
      <c r="F2" s="3"/>
    </row>
    <row r="3" ht="18.0" customHeight="1">
      <c r="A3" s="3"/>
      <c r="B3" s="3"/>
      <c r="C3" s="3"/>
      <c r="D3" s="3"/>
      <c r="E3" s="3"/>
      <c r="F3" s="3"/>
    </row>
    <row r="4" ht="18.0" customHeight="1">
      <c r="A4" s="9" t="s">
        <v>30</v>
      </c>
      <c r="B4" s="9" t="s">
        <v>34</v>
      </c>
      <c r="C4" s="9" t="s">
        <v>37</v>
      </c>
      <c r="D4" s="9" t="s">
        <v>5</v>
      </c>
      <c r="E4" s="3"/>
      <c r="F4" s="3"/>
    </row>
    <row r="5" ht="18.0" customHeight="1">
      <c r="A5" s="8" t="s">
        <v>38</v>
      </c>
      <c r="B5" s="8" t="s">
        <v>50</v>
      </c>
      <c r="C5" s="8" t="s">
        <v>51</v>
      </c>
      <c r="D5" s="8" t="s">
        <v>55</v>
      </c>
      <c r="E5" s="3"/>
      <c r="F5" s="3"/>
    </row>
    <row r="6" ht="18.0" customHeight="1">
      <c r="A6" s="8" t="s">
        <v>56</v>
      </c>
      <c r="B6" s="8" t="s">
        <v>57</v>
      </c>
      <c r="C6" s="8" t="s">
        <v>59</v>
      </c>
      <c r="D6" s="8" t="s">
        <v>61</v>
      </c>
      <c r="E6" s="3"/>
      <c r="F6" s="3"/>
    </row>
    <row r="7" ht="18.0" customHeight="1">
      <c r="A7" s="8" t="s">
        <v>63</v>
      </c>
      <c r="B7" s="8" t="s">
        <v>65</v>
      </c>
      <c r="C7" s="8" t="s">
        <v>66</v>
      </c>
      <c r="D7" s="8" t="s">
        <v>67</v>
      </c>
      <c r="E7" s="3"/>
      <c r="F7" s="3"/>
    </row>
    <row r="8" ht="18.0" customHeight="1">
      <c r="A8" s="3"/>
      <c r="B8" s="3"/>
      <c r="C8" s="3"/>
      <c r="D8" s="3"/>
      <c r="E8" s="3"/>
      <c r="F8" s="3"/>
    </row>
    <row r="9" ht="31.5" customHeight="1">
      <c r="A9" s="10" t="s">
        <v>71</v>
      </c>
      <c r="E9" s="3"/>
      <c r="F9" s="3"/>
    </row>
    <row r="10" ht="31.5" customHeight="1">
      <c r="A10" s="7" t="s">
        <v>75</v>
      </c>
      <c r="B10" s="3"/>
      <c r="C10" s="3"/>
      <c r="D10" s="3"/>
      <c r="E10" s="3"/>
      <c r="F10" s="3"/>
    </row>
    <row r="11" ht="31.5" customHeight="1">
      <c r="A11" s="2" t="s">
        <v>78</v>
      </c>
      <c r="B11" s="2" t="s">
        <v>34</v>
      </c>
      <c r="C11" s="2" t="s">
        <v>37</v>
      </c>
      <c r="D11" s="2" t="s">
        <v>5</v>
      </c>
      <c r="E11" s="3"/>
      <c r="F11" s="3"/>
    </row>
    <row r="12" ht="31.5" customHeight="1">
      <c r="A12" s="5" t="s">
        <v>81</v>
      </c>
      <c r="B12" s="5" t="s">
        <v>57</v>
      </c>
      <c r="C12" s="5" t="s">
        <v>59</v>
      </c>
      <c r="D12" s="5" t="s">
        <v>84</v>
      </c>
      <c r="E12" s="3"/>
      <c r="F12" s="3"/>
    </row>
    <row r="13" ht="31.5" customHeight="1">
      <c r="A13" s="5" t="s">
        <v>87</v>
      </c>
      <c r="B13" s="5" t="s">
        <v>50</v>
      </c>
      <c r="C13" s="5" t="s">
        <v>51</v>
      </c>
      <c r="D13" s="5" t="s">
        <v>90</v>
      </c>
      <c r="E13" s="3"/>
      <c r="F13" s="3"/>
    </row>
    <row r="14" ht="31.5" customHeight="1">
      <c r="A14" s="5" t="s">
        <v>92</v>
      </c>
      <c r="B14" s="5" t="s">
        <v>94</v>
      </c>
      <c r="C14" s="12" t="s">
        <v>97</v>
      </c>
      <c r="D14" s="5" t="s">
        <v>100</v>
      </c>
      <c r="E14" s="3"/>
      <c r="F14" s="3"/>
    </row>
    <row r="15" ht="31.5" customHeight="1">
      <c r="A15" s="5" t="s">
        <v>102</v>
      </c>
      <c r="B15" s="5" t="s">
        <v>103</v>
      </c>
      <c r="C15" s="5" t="s">
        <v>33</v>
      </c>
      <c r="D15" s="5" t="s">
        <v>104</v>
      </c>
      <c r="E15" s="3"/>
      <c r="F15" s="3"/>
    </row>
    <row r="16" ht="31.5" customHeight="1">
      <c r="A16" s="3"/>
      <c r="B16" s="3"/>
      <c r="C16" s="3"/>
      <c r="D16" s="3"/>
      <c r="E16" s="3"/>
      <c r="F16" s="3"/>
    </row>
    <row r="17" ht="31.5" customHeight="1">
      <c r="A17" s="7" t="s">
        <v>106</v>
      </c>
      <c r="B17" s="3"/>
      <c r="C17" s="3"/>
      <c r="D17" s="3"/>
      <c r="E17" s="3"/>
      <c r="F17" s="3"/>
    </row>
    <row r="18" ht="31.5" customHeight="1">
      <c r="A18" s="2" t="s">
        <v>108</v>
      </c>
      <c r="B18" s="2" t="s">
        <v>109</v>
      </c>
      <c r="C18" s="2" t="s">
        <v>5</v>
      </c>
      <c r="D18" s="13"/>
      <c r="E18" s="3"/>
      <c r="F18" s="3"/>
    </row>
    <row r="19" ht="31.5" customHeight="1">
      <c r="A19" s="5" t="s">
        <v>111</v>
      </c>
      <c r="B19" s="5" t="s">
        <v>112</v>
      </c>
      <c r="C19" s="5" t="s">
        <v>113</v>
      </c>
      <c r="D19" s="3"/>
      <c r="E19" s="3"/>
      <c r="F19" s="3"/>
    </row>
    <row r="20" ht="31.5" customHeight="1">
      <c r="A20" s="5" t="s">
        <v>111</v>
      </c>
      <c r="B20" s="5" t="s">
        <v>115</v>
      </c>
      <c r="C20" s="5" t="s">
        <v>116</v>
      </c>
      <c r="D20" s="3"/>
      <c r="E20" s="3"/>
      <c r="F20" s="3"/>
    </row>
    <row r="21" ht="31.5" customHeight="1">
      <c r="A21" s="5" t="s">
        <v>111</v>
      </c>
      <c r="B21" s="5" t="s">
        <v>118</v>
      </c>
      <c r="C21" s="5" t="s">
        <v>119</v>
      </c>
      <c r="D21" s="3"/>
      <c r="E21" s="3"/>
      <c r="F21" s="3"/>
    </row>
    <row r="22" ht="31.5" customHeight="1">
      <c r="A22" s="5" t="s">
        <v>120</v>
      </c>
      <c r="B22" s="5" t="s">
        <v>121</v>
      </c>
      <c r="C22" s="5" t="s">
        <v>123</v>
      </c>
      <c r="D22" s="3"/>
      <c r="E22" s="3"/>
      <c r="F22" s="3"/>
    </row>
    <row r="23" ht="31.5" customHeight="1">
      <c r="A23" s="5" t="s">
        <v>120</v>
      </c>
      <c r="B23" s="5" t="s">
        <v>124</v>
      </c>
      <c r="C23" s="5" t="s">
        <v>125</v>
      </c>
      <c r="D23" s="3"/>
      <c r="E23" s="3"/>
      <c r="F23" s="3"/>
    </row>
    <row r="24" ht="15.75" customHeight="1">
      <c r="A24" s="5" t="s">
        <v>127</v>
      </c>
      <c r="B24" s="5" t="s">
        <v>128</v>
      </c>
      <c r="C24" s="5" t="s">
        <v>129</v>
      </c>
      <c r="D24" s="3"/>
      <c r="E24" s="3"/>
      <c r="F24" s="3"/>
    </row>
    <row r="25" ht="15.75" customHeight="1">
      <c r="A25" s="5" t="s">
        <v>130</v>
      </c>
      <c r="B25" s="14" t="s">
        <v>132</v>
      </c>
      <c r="C25" s="5" t="s">
        <v>133</v>
      </c>
      <c r="D25" s="3"/>
      <c r="E25" s="3"/>
      <c r="F25" s="3"/>
    </row>
    <row r="26" ht="15.75" customHeight="1">
      <c r="A26" s="5" t="s">
        <v>120</v>
      </c>
      <c r="B26" s="5" t="s">
        <v>135</v>
      </c>
      <c r="C26" s="5" t="s">
        <v>136</v>
      </c>
      <c r="D26" s="3"/>
      <c r="E26" s="3"/>
      <c r="F26" s="3"/>
    </row>
    <row r="27" ht="15.75" customHeight="1">
      <c r="A27" s="5" t="s">
        <v>120</v>
      </c>
      <c r="B27" s="5" t="s">
        <v>137</v>
      </c>
      <c r="C27" s="5" t="s">
        <v>139</v>
      </c>
      <c r="D27" s="3"/>
      <c r="E27" s="3"/>
      <c r="F27" s="3"/>
    </row>
    <row r="28" ht="15.75" customHeight="1">
      <c r="A28" s="5" t="s">
        <v>140</v>
      </c>
      <c r="B28" s="5" t="s">
        <v>141</v>
      </c>
      <c r="C28" s="5" t="s">
        <v>142</v>
      </c>
      <c r="D28" s="3"/>
      <c r="E28" s="3"/>
      <c r="F28" s="3"/>
    </row>
    <row r="29" ht="15.75" customHeight="1">
      <c r="A29" s="5" t="s">
        <v>144</v>
      </c>
      <c r="B29" s="5" t="s">
        <v>145</v>
      </c>
      <c r="C29" s="5" t="s">
        <v>146</v>
      </c>
      <c r="D29" s="3"/>
      <c r="E29" s="3"/>
      <c r="F29" s="3"/>
    </row>
    <row r="30" ht="15.75" customHeight="1">
      <c r="A30" s="5" t="s">
        <v>147</v>
      </c>
      <c r="B30" s="5" t="s">
        <v>149</v>
      </c>
      <c r="C30" s="5" t="s">
        <v>150</v>
      </c>
      <c r="D30" s="3"/>
      <c r="E30" s="3"/>
      <c r="F30" s="3"/>
    </row>
    <row r="31" ht="15.75" customHeight="1">
      <c r="A31" s="5" t="s">
        <v>151</v>
      </c>
      <c r="B31" s="5" t="s">
        <v>153</v>
      </c>
      <c r="C31" s="5" t="s">
        <v>154</v>
      </c>
      <c r="D31" s="3"/>
      <c r="E31" s="3"/>
      <c r="F31" s="3"/>
    </row>
    <row r="32" ht="15.75" customHeight="1">
      <c r="A32" s="5" t="s">
        <v>155</v>
      </c>
      <c r="B32" s="5" t="s">
        <v>156</v>
      </c>
      <c r="C32" s="5" t="s">
        <v>157</v>
      </c>
      <c r="D32" s="3"/>
      <c r="E32" s="3"/>
      <c r="F32" s="3"/>
    </row>
    <row r="33" ht="15.75" customHeight="1">
      <c r="A33" s="5" t="s">
        <v>159</v>
      </c>
      <c r="B33" s="5" t="s">
        <v>161</v>
      </c>
      <c r="C33" s="5" t="s">
        <v>162</v>
      </c>
      <c r="D33" s="3"/>
      <c r="E33" s="3"/>
      <c r="F33" s="3"/>
    </row>
    <row r="34" ht="15.75" customHeight="1">
      <c r="A34" s="3"/>
      <c r="B34" s="3"/>
      <c r="C34" s="3"/>
      <c r="D34" s="3"/>
      <c r="E34" s="3"/>
      <c r="F34" s="3"/>
    </row>
    <row r="35" ht="15.75" customHeight="1">
      <c r="A35" s="16" t="s">
        <v>164</v>
      </c>
      <c r="B35" s="17"/>
      <c r="C35" s="17"/>
      <c r="D35" s="17"/>
      <c r="E35" s="3"/>
      <c r="F35" s="3"/>
    </row>
    <row r="36" ht="15.75" customHeight="1">
      <c r="A36" s="18" t="s">
        <v>78</v>
      </c>
      <c r="B36" s="18" t="s">
        <v>34</v>
      </c>
      <c r="C36" s="18" t="s">
        <v>37</v>
      </c>
      <c r="D36" s="18" t="s">
        <v>5</v>
      </c>
      <c r="E36" s="3"/>
      <c r="F36" s="3"/>
    </row>
    <row r="37" ht="15.75" customHeight="1">
      <c r="A37" s="8" t="s">
        <v>175</v>
      </c>
      <c r="B37" s="8" t="s">
        <v>176</v>
      </c>
      <c r="C37" s="8" t="s">
        <v>66</v>
      </c>
      <c r="D37" s="8" t="s">
        <v>178</v>
      </c>
      <c r="E37" s="3"/>
      <c r="F37" s="3"/>
    </row>
    <row r="38" ht="15.75" customHeight="1">
      <c r="A38" s="8" t="s">
        <v>179</v>
      </c>
      <c r="B38" s="8" t="s">
        <v>180</v>
      </c>
      <c r="C38" s="8" t="s">
        <v>66</v>
      </c>
      <c r="D38" s="8" t="s">
        <v>182</v>
      </c>
      <c r="E38" s="3"/>
      <c r="F38" s="3"/>
    </row>
    <row r="39" ht="15.75" customHeight="1">
      <c r="A39" s="8" t="s">
        <v>183</v>
      </c>
      <c r="B39" s="8" t="s">
        <v>184</v>
      </c>
      <c r="C39" s="8" t="s">
        <v>185</v>
      </c>
      <c r="D39" s="8" t="s">
        <v>187</v>
      </c>
      <c r="E39" s="3"/>
      <c r="F39" s="3"/>
    </row>
    <row r="40" ht="15.75" customHeight="1">
      <c r="A40" s="8" t="s">
        <v>188</v>
      </c>
      <c r="B40" s="8" t="s">
        <v>189</v>
      </c>
      <c r="C40" s="8" t="s">
        <v>66</v>
      </c>
      <c r="D40" s="8" t="s">
        <v>190</v>
      </c>
      <c r="E40" s="3"/>
      <c r="F40" s="3"/>
    </row>
    <row r="41" ht="15.75" customHeight="1">
      <c r="A41" s="8" t="s">
        <v>191</v>
      </c>
      <c r="B41" s="8" t="s">
        <v>65</v>
      </c>
      <c r="C41" s="8" t="s">
        <v>66</v>
      </c>
      <c r="D41" s="8" t="s">
        <v>193</v>
      </c>
      <c r="E41" s="3"/>
      <c r="F41" s="3"/>
    </row>
    <row r="42" ht="15.75" customHeight="1">
      <c r="A42" s="8" t="s">
        <v>194</v>
      </c>
      <c r="B42" s="8" t="s">
        <v>195</v>
      </c>
      <c r="C42" s="8" t="s">
        <v>66</v>
      </c>
      <c r="D42" s="8" t="s">
        <v>196</v>
      </c>
      <c r="E42" s="3"/>
      <c r="F42" s="3"/>
    </row>
    <row r="43" ht="15.75" customHeight="1">
      <c r="A43" s="8" t="s">
        <v>197</v>
      </c>
      <c r="B43" s="8" t="s">
        <v>199</v>
      </c>
      <c r="C43" s="8" t="s">
        <v>66</v>
      </c>
      <c r="D43" s="8" t="s">
        <v>200</v>
      </c>
      <c r="E43" s="3"/>
      <c r="F43" s="3"/>
    </row>
    <row r="44" ht="15.75" customHeight="1">
      <c r="A44" s="8" t="s">
        <v>201</v>
      </c>
      <c r="B44" s="8" t="s">
        <v>202</v>
      </c>
      <c r="C44" s="8" t="s">
        <v>66</v>
      </c>
      <c r="D44" s="8" t="s">
        <v>203</v>
      </c>
      <c r="E44" s="3"/>
      <c r="F44" s="3"/>
    </row>
    <row r="45" ht="15.75" customHeight="1">
      <c r="A45" s="8" t="s">
        <v>204</v>
      </c>
      <c r="B45" s="8" t="s">
        <v>205</v>
      </c>
      <c r="C45" s="8" t="s">
        <v>66</v>
      </c>
      <c r="D45" s="8" t="s">
        <v>206</v>
      </c>
      <c r="E45" s="3"/>
      <c r="F45" s="3"/>
    </row>
    <row r="46" ht="15.75" customHeight="1">
      <c r="A46" s="8" t="s">
        <v>207</v>
      </c>
      <c r="B46" s="8" t="s">
        <v>208</v>
      </c>
      <c r="C46" s="8" t="s">
        <v>66</v>
      </c>
      <c r="D46" s="8" t="s">
        <v>209</v>
      </c>
      <c r="E46" s="3"/>
      <c r="F46" s="3"/>
    </row>
    <row r="47" ht="15.75" customHeight="1">
      <c r="A47" s="3" t="s">
        <v>210</v>
      </c>
      <c r="B47" s="3" t="s">
        <v>211</v>
      </c>
      <c r="C47" s="8" t="s">
        <v>59</v>
      </c>
      <c r="D47" s="3" t="s">
        <v>212</v>
      </c>
      <c r="E47" s="3"/>
      <c r="F47" s="3"/>
    </row>
    <row r="48" ht="15.75" customHeight="1">
      <c r="A48" s="3" t="s">
        <v>213</v>
      </c>
      <c r="B48" s="3" t="s">
        <v>214</v>
      </c>
      <c r="C48" s="3" t="s">
        <v>59</v>
      </c>
      <c r="D48" s="3" t="s">
        <v>215</v>
      </c>
      <c r="E48" s="3"/>
      <c r="F48" s="3"/>
    </row>
    <row r="49" ht="15.75" customHeight="1">
      <c r="A49" s="3"/>
      <c r="B49" s="3"/>
      <c r="C49" s="3"/>
      <c r="D49" s="3"/>
      <c r="E49" s="3"/>
      <c r="F49" s="3"/>
    </row>
    <row r="50" ht="15.75" customHeight="1">
      <c r="A50" s="17"/>
      <c r="B50" s="3"/>
      <c r="C50" s="3"/>
      <c r="D50" s="17"/>
      <c r="E50" s="3"/>
      <c r="F50" s="3"/>
    </row>
    <row r="51" ht="15.75" customHeight="1">
      <c r="A51" s="16" t="s">
        <v>216</v>
      </c>
      <c r="B51" s="17"/>
      <c r="C51" s="17"/>
      <c r="D51" s="17"/>
      <c r="E51" s="3"/>
      <c r="F51" s="3"/>
    </row>
    <row r="52" ht="15.75" customHeight="1">
      <c r="A52" s="8" t="s">
        <v>217</v>
      </c>
      <c r="B52" s="8" t="s">
        <v>218</v>
      </c>
      <c r="C52" s="17"/>
      <c r="D52" s="8" t="s">
        <v>219</v>
      </c>
      <c r="E52" s="3"/>
      <c r="F52" s="3"/>
    </row>
    <row r="53" ht="15.75" customHeight="1">
      <c r="A53" s="8" t="s">
        <v>220</v>
      </c>
      <c r="B53" s="8" t="s">
        <v>221</v>
      </c>
      <c r="C53" s="17"/>
      <c r="D53" s="8" t="s">
        <v>222</v>
      </c>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2">
    <mergeCell ref="A2:D2"/>
    <mergeCell ref="A9:D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0"/>
    <col customWidth="1" min="2" max="2" width="55.0"/>
    <col customWidth="1" min="3" max="3" width="70.0"/>
    <col customWidth="1" min="4" max="6" width="8.71"/>
  </cols>
  <sheetData>
    <row r="1" ht="15.0" customHeight="1">
      <c r="A1" s="2" t="s">
        <v>3</v>
      </c>
      <c r="B1" s="2" t="s">
        <v>4</v>
      </c>
      <c r="C1" s="2" t="s">
        <v>5</v>
      </c>
      <c r="D1" s="3"/>
      <c r="E1" s="3"/>
      <c r="F1" s="3"/>
    </row>
    <row r="2" ht="42.0" customHeight="1">
      <c r="A2" s="5" t="s">
        <v>7</v>
      </c>
      <c r="B2" s="5" t="s">
        <v>8</v>
      </c>
      <c r="C2" s="5" t="s">
        <v>9</v>
      </c>
      <c r="D2" s="3"/>
      <c r="E2" s="3"/>
      <c r="F2" s="3"/>
    </row>
    <row r="3" ht="42.0" customHeight="1">
      <c r="A3" s="5" t="s">
        <v>10</v>
      </c>
      <c r="B3" s="5" t="s">
        <v>11</v>
      </c>
      <c r="C3" s="5" t="s">
        <v>12</v>
      </c>
      <c r="D3" s="3"/>
      <c r="E3" s="3"/>
      <c r="F3" s="3"/>
    </row>
    <row r="4" ht="42.0" customHeight="1">
      <c r="A4" s="5" t="s">
        <v>13</v>
      </c>
      <c r="B4" s="5" t="s">
        <v>14</v>
      </c>
      <c r="C4" s="5" t="s">
        <v>15</v>
      </c>
      <c r="D4" s="3"/>
      <c r="E4" s="3"/>
      <c r="F4" s="3"/>
    </row>
    <row r="5" ht="42.0" customHeight="1">
      <c r="A5" s="5" t="s">
        <v>16</v>
      </c>
      <c r="B5" s="5" t="s">
        <v>17</v>
      </c>
      <c r="C5" s="5" t="s">
        <v>18</v>
      </c>
      <c r="D5" s="3"/>
      <c r="E5" s="3"/>
      <c r="F5" s="3"/>
    </row>
    <row r="6" ht="42.0" customHeight="1">
      <c r="A6" s="5" t="s">
        <v>21</v>
      </c>
      <c r="B6" s="5" t="s">
        <v>22</v>
      </c>
      <c r="C6" s="5" t="s">
        <v>23</v>
      </c>
      <c r="D6" s="3"/>
      <c r="E6" s="3"/>
      <c r="F6" s="3"/>
    </row>
    <row r="7" ht="42.0" customHeight="1">
      <c r="A7" s="5" t="s">
        <v>24</v>
      </c>
      <c r="B7" s="5" t="s">
        <v>26</v>
      </c>
      <c r="C7" s="5" t="s">
        <v>28</v>
      </c>
      <c r="D7" s="3"/>
      <c r="E7" s="3"/>
      <c r="F7" s="3"/>
    </row>
    <row r="8" ht="42.0" customHeight="1">
      <c r="A8" s="5" t="s">
        <v>32</v>
      </c>
      <c r="B8" s="5" t="s">
        <v>33</v>
      </c>
      <c r="C8" s="5" t="s">
        <v>36</v>
      </c>
      <c r="D8" s="3"/>
      <c r="E8" s="3"/>
      <c r="F8" s="3"/>
    </row>
    <row r="9" ht="42.0" customHeight="1">
      <c r="A9" s="5" t="s">
        <v>39</v>
      </c>
      <c r="B9" s="5" t="s">
        <v>42</v>
      </c>
      <c r="C9" s="5" t="s">
        <v>44</v>
      </c>
      <c r="D9" s="3"/>
      <c r="E9" s="3"/>
      <c r="F9" s="3"/>
    </row>
    <row r="10" ht="42.0" customHeight="1">
      <c r="A10" s="5" t="s">
        <v>46</v>
      </c>
      <c r="B10" s="5" t="s">
        <v>49</v>
      </c>
      <c r="C10" s="5" t="s">
        <v>52</v>
      </c>
      <c r="D10" s="3"/>
      <c r="E10" s="3"/>
      <c r="F10" s="3"/>
    </row>
    <row r="11" ht="42.0" customHeight="1">
      <c r="A11" s="5" t="s">
        <v>58</v>
      </c>
      <c r="B11" s="5" t="s">
        <v>60</v>
      </c>
      <c r="C11" s="5" t="s">
        <v>64</v>
      </c>
      <c r="D11" s="3"/>
      <c r="E11" s="3"/>
      <c r="F11" s="3"/>
    </row>
    <row r="12" ht="42.0" customHeight="1">
      <c r="A12" s="5" t="s">
        <v>69</v>
      </c>
      <c r="B12" s="11" t="s">
        <v>73</v>
      </c>
      <c r="C12" s="5" t="s">
        <v>79</v>
      </c>
      <c r="D12" s="3"/>
      <c r="E12" s="3"/>
      <c r="F12" s="3"/>
    </row>
    <row r="13" ht="42.0" customHeight="1">
      <c r="A13" s="5" t="s">
        <v>85</v>
      </c>
      <c r="B13" s="5" t="s">
        <v>88</v>
      </c>
      <c r="C13" s="5" t="s">
        <v>89</v>
      </c>
      <c r="D13" s="3"/>
      <c r="E13" s="3"/>
      <c r="F13" s="3"/>
    </row>
    <row r="14" ht="42.0" customHeight="1">
      <c r="A14" s="5" t="s">
        <v>93</v>
      </c>
      <c r="B14" s="15" t="s">
        <v>95</v>
      </c>
      <c r="C14" s="5" t="s">
        <v>166</v>
      </c>
      <c r="D14" s="3"/>
      <c r="E14" s="3"/>
      <c r="F14" s="3"/>
    </row>
    <row r="15" ht="42.0" customHeight="1">
      <c r="A15" s="5" t="s">
        <v>167</v>
      </c>
      <c r="B15" s="5" t="s">
        <v>169</v>
      </c>
      <c r="C15" s="5" t="s">
        <v>170</v>
      </c>
      <c r="D15" s="3"/>
      <c r="E15" s="3"/>
      <c r="F15" s="3"/>
    </row>
    <row r="16" ht="42.0" customHeight="1">
      <c r="A16" s="5" t="s">
        <v>171</v>
      </c>
      <c r="B16" s="5" t="s">
        <v>172</v>
      </c>
      <c r="C16" s="5" t="s">
        <v>174</v>
      </c>
      <c r="D16" s="3"/>
      <c r="E16" s="3"/>
      <c r="F16" s="3"/>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row r="21" ht="15.75" customHeight="1">
      <c r="A21" s="3"/>
      <c r="B21" s="3"/>
      <c r="C21" s="3"/>
      <c r="D21" s="3"/>
      <c r="E21" s="3"/>
      <c r="F21" s="3"/>
    </row>
    <row r="22" ht="15.75" customHeight="1">
      <c r="A22" s="3"/>
      <c r="B22" s="3"/>
      <c r="C22" s="3"/>
      <c r="D22" s="3"/>
      <c r="E22" s="3"/>
      <c r="F22" s="3"/>
    </row>
    <row r="23" ht="15.75" customHeight="1">
      <c r="A23" s="3"/>
      <c r="B23" s="3"/>
      <c r="C23" s="3"/>
      <c r="D23" s="3"/>
      <c r="E23" s="3"/>
      <c r="F23" s="3"/>
    </row>
    <row r="24" ht="15.75" customHeight="1">
      <c r="A24" s="3"/>
      <c r="B24" s="3"/>
      <c r="C24" s="3"/>
      <c r="D24" s="3"/>
      <c r="E24" s="3"/>
      <c r="F24" s="3"/>
    </row>
    <row r="25" ht="15.75" customHeight="1">
      <c r="A25" s="3"/>
      <c r="B25" s="3"/>
      <c r="C25" s="3"/>
      <c r="D25" s="3"/>
      <c r="E25" s="3"/>
      <c r="F25" s="3"/>
    </row>
    <row r="26" ht="15.75" customHeight="1">
      <c r="A26" s="3"/>
      <c r="B26" s="3"/>
      <c r="C26" s="3"/>
      <c r="D26" s="3"/>
      <c r="E26" s="3"/>
      <c r="F26" s="3"/>
    </row>
    <row r="27" ht="15.75" customHeight="1">
      <c r="A27" s="3"/>
      <c r="B27" s="3"/>
      <c r="C27" s="3"/>
      <c r="D27" s="3"/>
      <c r="E27" s="3"/>
      <c r="F27" s="3"/>
    </row>
    <row r="28" ht="15.75" customHeight="1">
      <c r="A28" s="3"/>
      <c r="B28" s="3"/>
      <c r="C28" s="3"/>
      <c r="D28" s="3"/>
      <c r="E28" s="3"/>
      <c r="F28" s="3"/>
    </row>
    <row r="29" ht="15.75" customHeight="1">
      <c r="A29" s="3"/>
      <c r="B29" s="3"/>
      <c r="C29" s="3"/>
      <c r="D29" s="3"/>
      <c r="E29" s="3"/>
      <c r="F29" s="3"/>
    </row>
    <row r="30" ht="15.75" customHeight="1">
      <c r="A30" s="3"/>
      <c r="B30" s="3"/>
      <c r="C30" s="3"/>
      <c r="D30" s="3"/>
      <c r="E30" s="3"/>
      <c r="F30" s="3"/>
    </row>
    <row r="31" ht="15.75" customHeight="1">
      <c r="A31" s="3"/>
      <c r="B31" s="3"/>
      <c r="C31" s="3"/>
      <c r="D31" s="3"/>
      <c r="E31" s="3"/>
      <c r="F31" s="3"/>
    </row>
    <row r="32" ht="15.75" customHeight="1">
      <c r="A32" s="3"/>
      <c r="B32" s="3"/>
      <c r="C32" s="3"/>
      <c r="D32" s="3"/>
      <c r="E32" s="3"/>
      <c r="F32" s="3"/>
    </row>
    <row r="33" ht="15.75" customHeight="1">
      <c r="A33" s="3"/>
      <c r="B33" s="3"/>
      <c r="C33" s="3"/>
      <c r="D33" s="3"/>
      <c r="E33" s="3"/>
      <c r="F33" s="3"/>
    </row>
    <row r="34" ht="15.75" customHeight="1">
      <c r="A34" s="3"/>
      <c r="B34" s="3"/>
      <c r="C34" s="3"/>
      <c r="D34" s="3"/>
      <c r="E34" s="3"/>
      <c r="F34" s="3"/>
    </row>
    <row r="35" ht="15.75" customHeight="1">
      <c r="A35" s="3"/>
      <c r="B35" s="3"/>
      <c r="C35" s="3"/>
      <c r="D35" s="3"/>
      <c r="E35" s="3"/>
      <c r="F35" s="3"/>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hyperlinks>
    <hyperlink r:id="rId1" ref="B14"/>
  </hyperlinks>
  <printOptions/>
  <pageMargins bottom="1.0" footer="0.0" header="0.0" left="0.75" right="0.75" top="1.0"/>
  <pageSetup paperSize="9"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2" width="90.0"/>
    <col customWidth="1" min="3" max="6" width="8.71"/>
  </cols>
  <sheetData>
    <row r="1" ht="17.25" customHeight="1">
      <c r="A1" s="1" t="s">
        <v>0</v>
      </c>
      <c r="B1" s="3"/>
      <c r="C1" s="3"/>
      <c r="D1" s="3"/>
      <c r="E1" s="3"/>
      <c r="F1" s="3"/>
    </row>
    <row r="2" ht="15.0" customHeight="1">
      <c r="A2" s="6" t="s">
        <v>6</v>
      </c>
      <c r="B2" s="3"/>
      <c r="C2" s="3"/>
      <c r="D2" s="3"/>
      <c r="E2" s="3"/>
      <c r="F2" s="3"/>
    </row>
    <row r="3">
      <c r="A3" s="3"/>
      <c r="B3" s="3"/>
      <c r="C3" s="3"/>
      <c r="D3" s="3"/>
      <c r="E3" s="3"/>
      <c r="F3" s="3"/>
    </row>
    <row r="4" ht="15.0" customHeight="1">
      <c r="A4" s="7" t="s">
        <v>19</v>
      </c>
      <c r="B4" s="3"/>
      <c r="C4" s="3"/>
      <c r="D4" s="3"/>
      <c r="E4" s="3"/>
      <c r="F4" s="3"/>
    </row>
    <row r="5" ht="30.0" customHeight="1">
      <c r="A5" s="8" t="s">
        <v>25</v>
      </c>
      <c r="B5" s="8" t="s">
        <v>27</v>
      </c>
      <c r="C5" s="3"/>
      <c r="D5" s="3"/>
      <c r="E5" s="3"/>
      <c r="F5" s="3"/>
    </row>
    <row r="6" ht="46.5" customHeight="1">
      <c r="A6" s="8" t="s">
        <v>31</v>
      </c>
      <c r="B6" s="8" t="s">
        <v>35</v>
      </c>
      <c r="C6" s="3"/>
      <c r="D6" s="3"/>
      <c r="E6" s="3"/>
      <c r="F6" s="3"/>
    </row>
    <row r="7" ht="46.5" customHeight="1">
      <c r="A7" s="8" t="s">
        <v>40</v>
      </c>
      <c r="B7" s="8" t="s">
        <v>43</v>
      </c>
      <c r="C7" s="3"/>
      <c r="D7" s="3"/>
      <c r="E7" s="3"/>
      <c r="F7" s="3"/>
    </row>
    <row r="8" ht="33.0" customHeight="1">
      <c r="A8" s="8" t="s">
        <v>45</v>
      </c>
      <c r="B8" s="8" t="s">
        <v>47</v>
      </c>
      <c r="C8" s="3"/>
      <c r="D8" s="3"/>
      <c r="E8" s="3"/>
      <c r="F8" s="3"/>
    </row>
    <row r="9" ht="100.5" customHeight="1">
      <c r="A9" s="8" t="s">
        <v>48</v>
      </c>
      <c r="B9" s="8" t="s">
        <v>54</v>
      </c>
      <c r="C9" s="3"/>
      <c r="D9" s="3"/>
      <c r="E9" s="3"/>
      <c r="F9" s="3"/>
    </row>
    <row r="10" ht="33.0" customHeight="1">
      <c r="A10" s="8" t="s">
        <v>62</v>
      </c>
      <c r="B10" s="8" t="s">
        <v>68</v>
      </c>
      <c r="C10" s="3"/>
      <c r="D10" s="3"/>
      <c r="E10" s="3"/>
      <c r="F10" s="3"/>
    </row>
    <row r="11" ht="30.0" customHeight="1">
      <c r="A11" s="8" t="s">
        <v>70</v>
      </c>
      <c r="B11" s="8" t="s">
        <v>74</v>
      </c>
      <c r="C11" s="3"/>
      <c r="D11" s="3"/>
      <c r="E11" s="3"/>
      <c r="F11" s="3"/>
    </row>
    <row r="12" ht="33.0" customHeight="1">
      <c r="A12" s="8" t="s">
        <v>76</v>
      </c>
      <c r="B12" s="8" t="s">
        <v>77</v>
      </c>
      <c r="C12" s="3"/>
      <c r="D12" s="3"/>
      <c r="E12" s="3"/>
      <c r="F12" s="3"/>
    </row>
    <row r="13" ht="15.0" customHeight="1">
      <c r="A13" s="7" t="s">
        <v>80</v>
      </c>
      <c r="B13" s="3"/>
      <c r="C13" s="3"/>
      <c r="D13" s="3"/>
      <c r="E13" s="3"/>
      <c r="F13" s="3"/>
    </row>
    <row r="14" ht="73.5" customHeight="1">
      <c r="A14" s="8" t="s">
        <v>82</v>
      </c>
      <c r="B14" s="8" t="s">
        <v>86</v>
      </c>
      <c r="C14" s="3"/>
      <c r="D14" s="3"/>
      <c r="E14" s="3"/>
      <c r="F14" s="3"/>
    </row>
    <row r="15" ht="46.5" customHeight="1">
      <c r="A15" s="8" t="s">
        <v>91</v>
      </c>
      <c r="B15" s="8" t="s">
        <v>96</v>
      </c>
      <c r="C15" s="3"/>
      <c r="D15" s="3"/>
      <c r="E15" s="3"/>
      <c r="F15" s="3"/>
    </row>
    <row r="16" ht="46.5" customHeight="1">
      <c r="A16" s="8" t="s">
        <v>99</v>
      </c>
      <c r="B16" s="8" t="s">
        <v>101</v>
      </c>
      <c r="C16" s="3"/>
      <c r="D16" s="3"/>
      <c r="E16" s="3"/>
      <c r="F16" s="3"/>
    </row>
    <row r="17" ht="33.0" customHeight="1">
      <c r="A17" s="8" t="s">
        <v>105</v>
      </c>
      <c r="B17" s="8" t="s">
        <v>107</v>
      </c>
      <c r="C17" s="3"/>
      <c r="D17" s="3"/>
      <c r="E17" s="3"/>
      <c r="F17" s="3"/>
    </row>
    <row r="18" ht="15.0" customHeight="1">
      <c r="A18" s="7" t="s">
        <v>110</v>
      </c>
      <c r="B18" s="3"/>
      <c r="C18" s="3"/>
      <c r="D18" s="3"/>
      <c r="E18" s="3"/>
      <c r="F18" s="3"/>
    </row>
    <row r="19" ht="33.0" customHeight="1">
      <c r="A19" s="8" t="s">
        <v>114</v>
      </c>
      <c r="B19" s="8" t="s">
        <v>117</v>
      </c>
      <c r="C19" s="3"/>
      <c r="D19" s="3"/>
      <c r="E19" s="3"/>
      <c r="F19" s="3"/>
    </row>
    <row r="20" ht="46.5" customHeight="1">
      <c r="A20" s="8" t="s">
        <v>122</v>
      </c>
      <c r="B20" s="8" t="s">
        <v>126</v>
      </c>
      <c r="C20" s="3"/>
      <c r="D20" s="3"/>
      <c r="E20" s="3"/>
      <c r="F20" s="3"/>
    </row>
    <row r="21" ht="46.5" customHeight="1">
      <c r="A21" s="8" t="s">
        <v>131</v>
      </c>
      <c r="B21" s="8" t="s">
        <v>134</v>
      </c>
      <c r="C21" s="3"/>
      <c r="D21" s="3"/>
      <c r="E21" s="3"/>
      <c r="F21" s="3"/>
    </row>
    <row r="22" ht="46.5" customHeight="1">
      <c r="A22" s="8" t="s">
        <v>138</v>
      </c>
      <c r="B22" s="8" t="s">
        <v>143</v>
      </c>
      <c r="C22" s="3"/>
      <c r="D22" s="3"/>
      <c r="E22" s="3"/>
      <c r="F22" s="3"/>
    </row>
    <row r="23" ht="33.0" customHeight="1">
      <c r="A23" s="8" t="s">
        <v>148</v>
      </c>
      <c r="B23" s="8" t="s">
        <v>152</v>
      </c>
      <c r="C23" s="3"/>
      <c r="D23" s="3"/>
      <c r="E23" s="3"/>
      <c r="F23" s="3"/>
    </row>
    <row r="24" ht="30.0" customHeight="1">
      <c r="A24" s="8" t="s">
        <v>158</v>
      </c>
      <c r="B24" s="8" t="s">
        <v>160</v>
      </c>
      <c r="C24" s="3"/>
      <c r="D24" s="3"/>
      <c r="E24" s="3"/>
      <c r="F24" s="3"/>
    </row>
    <row r="25" ht="33.0" customHeight="1">
      <c r="A25" s="8" t="s">
        <v>163</v>
      </c>
      <c r="B25" s="8" t="s">
        <v>165</v>
      </c>
      <c r="C25" s="3"/>
      <c r="D25" s="3"/>
      <c r="E25" s="3"/>
      <c r="F25" s="3"/>
    </row>
    <row r="26" ht="73.5" customHeight="1">
      <c r="A26" s="8" t="s">
        <v>168</v>
      </c>
      <c r="B26" s="8" t="s">
        <v>173</v>
      </c>
      <c r="C26" s="3"/>
      <c r="D26" s="3"/>
      <c r="E26" s="3"/>
      <c r="F26" s="3"/>
    </row>
    <row r="27" ht="73.5" customHeight="1">
      <c r="A27" s="8" t="s">
        <v>177</v>
      </c>
      <c r="B27" s="8" t="s">
        <v>181</v>
      </c>
      <c r="C27" s="3"/>
      <c r="D27" s="3"/>
      <c r="E27" s="3"/>
      <c r="F27" s="3"/>
    </row>
    <row r="28" ht="100.5" customHeight="1">
      <c r="A28" s="7" t="s">
        <v>186</v>
      </c>
      <c r="B28" s="3"/>
      <c r="C28" s="3"/>
      <c r="D28" s="3"/>
      <c r="E28" s="3"/>
      <c r="F28" s="3"/>
    </row>
    <row r="29" ht="15.75" customHeight="1">
      <c r="A29" s="8" t="s">
        <v>192</v>
      </c>
      <c r="B29" s="8" t="s">
        <v>198</v>
      </c>
      <c r="C29" s="3"/>
      <c r="D29" s="3"/>
      <c r="E29" s="3"/>
      <c r="F29" s="3"/>
    </row>
    <row r="30" ht="15.75" customHeight="1">
      <c r="A30" s="3"/>
      <c r="B30" s="3"/>
      <c r="C30" s="3"/>
      <c r="D30" s="3"/>
      <c r="E30" s="3"/>
      <c r="F30" s="3"/>
    </row>
    <row r="31" ht="15.75" customHeight="1">
      <c r="A31" s="3"/>
      <c r="B31" s="3"/>
      <c r="C31" s="3"/>
      <c r="D31" s="3"/>
      <c r="E31" s="3"/>
      <c r="F31" s="3"/>
    </row>
    <row r="32" ht="15.75" customHeight="1">
      <c r="A32" s="3"/>
      <c r="B32" s="3"/>
      <c r="C32" s="3"/>
      <c r="D32" s="3"/>
      <c r="E32" s="3"/>
      <c r="F32" s="3"/>
    </row>
    <row r="33" ht="15.75" customHeight="1">
      <c r="A33" s="3"/>
      <c r="B33" s="3"/>
      <c r="C33" s="3"/>
      <c r="D33" s="3"/>
      <c r="E33" s="3"/>
      <c r="F33" s="3"/>
    </row>
    <row r="34" ht="15.75" customHeight="1">
      <c r="A34" s="3"/>
      <c r="B34" s="3"/>
      <c r="C34" s="3"/>
      <c r="D34" s="3"/>
      <c r="E34" s="3"/>
      <c r="F34" s="3"/>
    </row>
    <row r="35" ht="15.75" customHeight="1">
      <c r="A35" s="3"/>
      <c r="B35" s="3"/>
      <c r="C35" s="3"/>
      <c r="D35" s="3"/>
      <c r="E35" s="3"/>
      <c r="F35" s="3"/>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6" width="14.0"/>
  </cols>
  <sheetData>
    <row r="1" ht="17.25" customHeight="1">
      <c r="A1" s="1" t="s">
        <v>631</v>
      </c>
      <c r="B1" s="3"/>
      <c r="C1" s="3"/>
      <c r="D1" s="3"/>
      <c r="E1" s="3"/>
      <c r="F1" s="3"/>
    </row>
    <row r="2" ht="15.0" customHeight="1">
      <c r="A2" s="6" t="s">
        <v>636</v>
      </c>
      <c r="B2" s="3"/>
      <c r="C2" s="3"/>
      <c r="D2" s="3"/>
      <c r="E2" s="3"/>
      <c r="F2" s="3"/>
    </row>
    <row r="3">
      <c r="A3" s="3"/>
      <c r="B3" s="3"/>
      <c r="C3" s="3"/>
      <c r="D3" s="3"/>
      <c r="E3" s="3"/>
      <c r="F3" s="3"/>
    </row>
    <row r="4" ht="15.0" customHeight="1">
      <c r="A4" s="7" t="s">
        <v>638</v>
      </c>
      <c r="B4" s="3"/>
      <c r="C4" s="3"/>
      <c r="D4" s="3"/>
      <c r="E4" s="3"/>
      <c r="F4" s="3"/>
    </row>
    <row r="5" ht="15.0" customHeight="1">
      <c r="A5" s="25" t="s">
        <v>30</v>
      </c>
      <c r="B5" s="25" t="s">
        <v>645</v>
      </c>
      <c r="C5" s="3"/>
      <c r="D5" s="3"/>
      <c r="E5" s="3"/>
      <c r="F5" s="3"/>
    </row>
    <row r="6" ht="15.0" customHeight="1">
      <c r="A6" s="26" t="s">
        <v>236</v>
      </c>
      <c r="B6" s="26">
        <f>COUNTA(Admin!$A$2:$A$1000)</f>
        <v>44</v>
      </c>
      <c r="C6" s="3"/>
      <c r="D6" s="3"/>
      <c r="E6" s="3"/>
      <c r="F6" s="3"/>
    </row>
    <row r="7" ht="15.0" customHeight="1">
      <c r="A7" s="26" t="s">
        <v>286</v>
      </c>
      <c r="B7" s="26">
        <f>COUNTA(Teacher!$A$2:$A$1000)</f>
        <v>33</v>
      </c>
      <c r="C7" s="3"/>
      <c r="D7" s="3"/>
      <c r="E7" s="3"/>
      <c r="F7" s="3"/>
    </row>
    <row r="8" ht="15.0" customHeight="1">
      <c r="A8" s="26" t="s">
        <v>667</v>
      </c>
      <c r="B8" s="26">
        <f>COUNTA(Student!$A$2:$A$994)</f>
        <v>74</v>
      </c>
      <c r="C8" s="3"/>
      <c r="D8" s="3"/>
      <c r="E8" s="3"/>
      <c r="F8" s="3"/>
    </row>
    <row r="9" ht="15.0" customHeight="1">
      <c r="A9" s="26" t="s">
        <v>82</v>
      </c>
      <c r="B9" s="26">
        <f>COUNTA(Mobile!$A$2:$A$1000)</f>
        <v>16</v>
      </c>
      <c r="C9" s="3"/>
      <c r="D9" s="3"/>
      <c r="E9" s="3"/>
      <c r="F9" s="3"/>
    </row>
    <row r="10">
      <c r="A10" s="3"/>
      <c r="B10" s="3"/>
      <c r="C10" s="3"/>
      <c r="D10" s="3"/>
      <c r="E10" s="3"/>
      <c r="F10" s="3"/>
    </row>
    <row r="11" ht="15.0" customHeight="1">
      <c r="A11" s="7" t="s">
        <v>671</v>
      </c>
      <c r="B11" s="3"/>
      <c r="C11" s="3"/>
      <c r="D11" s="3"/>
      <c r="E11" s="3"/>
      <c r="F11" s="3"/>
    </row>
    <row r="12" ht="15.0" customHeight="1">
      <c r="A12" s="25" t="s">
        <v>232</v>
      </c>
      <c r="B12" s="25" t="s">
        <v>645</v>
      </c>
      <c r="C12" s="3"/>
      <c r="D12" s="3"/>
      <c r="E12" s="3"/>
      <c r="F12" s="3"/>
    </row>
    <row r="13" ht="15.0" customHeight="1">
      <c r="A13" s="26" t="s">
        <v>244</v>
      </c>
      <c r="B13" s="26">
        <f>COUNTIF(Admin!$K$2:$K$1000,"Smoke")+COUNTIF(Teacher!$K$2:$K$1000,"Smoke")+COUNTIF(Student!$L$2:$L$994,"Smoke")+COUNTIF(Mobile!$K$2:$K$1000,"Smoke")</f>
        <v>65</v>
      </c>
      <c r="C13" s="3"/>
      <c r="D13" s="3"/>
      <c r="E13" s="3"/>
      <c r="F13" s="3"/>
    </row>
    <row r="14" ht="15.0" customHeight="1">
      <c r="A14" s="26" t="s">
        <v>254</v>
      </c>
      <c r="B14" s="26">
        <f>COUNTIF(Admin!$K$2:$K$1000,"Regression")+COUNTIF(Teacher!$K$2:$K$1000,"Regression")+COUNTIF(Student!$L$2:$L$994,"Regression")+COUNTIF(Mobile!$K$2:$K$1000,"Regression")</f>
        <v>102</v>
      </c>
      <c r="C14" s="3"/>
      <c r="D14" s="3"/>
      <c r="E14" s="3"/>
      <c r="F14" s="3"/>
    </row>
    <row r="15">
      <c r="A15" s="3"/>
      <c r="B15" s="3"/>
      <c r="C15" s="3"/>
      <c r="D15" s="3"/>
      <c r="E15" s="3"/>
      <c r="F15" s="3"/>
    </row>
    <row r="16" ht="15.0" customHeight="1">
      <c r="A16" s="7" t="s">
        <v>672</v>
      </c>
      <c r="B16" s="3"/>
      <c r="C16" s="3"/>
      <c r="D16" s="3"/>
      <c r="E16" s="3"/>
      <c r="F16" s="3"/>
    </row>
    <row r="17" ht="15.0" customHeight="1">
      <c r="A17" s="25" t="s">
        <v>233</v>
      </c>
      <c r="B17" s="25" t="s">
        <v>645</v>
      </c>
      <c r="C17" s="3"/>
      <c r="D17" s="3"/>
      <c r="E17" s="3"/>
      <c r="F17" s="3"/>
    </row>
    <row r="18" ht="15.0" customHeight="1">
      <c r="A18" s="26" t="s">
        <v>245</v>
      </c>
      <c r="B18" s="26">
        <f>COUNTIF(Admin!$L$2:$L$1000,"Automation")+COUNTIF(Teacher!$L$2:$L$1000,"Automation")+COUNTIF(Student!$M$2:$M$994,"Automation")+COUNTIF(Mobile!$L$2:$L$1000,"Automation")</f>
        <v>159</v>
      </c>
      <c r="C18" s="3"/>
      <c r="D18" s="3"/>
      <c r="E18" s="3"/>
      <c r="F18" s="3"/>
    </row>
    <row r="19" ht="15.0" customHeight="1">
      <c r="A19" s="26" t="s">
        <v>673</v>
      </c>
      <c r="B19" s="26">
        <f>COUNTIF(Admin!$L$2:$L$1000,"Manual")+COUNTIF(Teacher!$L$2:$L$1000,"Manual")+COUNTIF(Student!$M$2:$M$994,"Manual")+COUNTIF(Mobile!$L$2:$L$1000,"Manual")</f>
        <v>8</v>
      </c>
      <c r="C19" s="3"/>
      <c r="D19" s="3"/>
      <c r="E19" s="3"/>
      <c r="F19" s="3"/>
    </row>
    <row r="20">
      <c r="A20" s="3"/>
      <c r="B20" s="3"/>
      <c r="C20" s="3"/>
      <c r="D20" s="3"/>
      <c r="E20" s="3"/>
      <c r="F20" s="3"/>
    </row>
    <row r="21" ht="15.75" customHeight="1">
      <c r="A21" s="7" t="s">
        <v>674</v>
      </c>
      <c r="B21" s="3"/>
      <c r="C21" s="3"/>
      <c r="D21" s="3"/>
      <c r="E21" s="3"/>
      <c r="F21" s="3"/>
    </row>
    <row r="22" ht="15.75" customHeight="1">
      <c r="A22" s="25" t="s">
        <v>225</v>
      </c>
      <c r="B22" s="25" t="s">
        <v>645</v>
      </c>
      <c r="C22" s="3"/>
      <c r="D22" s="3"/>
      <c r="E22" s="3"/>
      <c r="F22" s="3"/>
    </row>
    <row r="23" ht="15.75" customHeight="1">
      <c r="A23" s="26" t="s">
        <v>238</v>
      </c>
      <c r="B23" s="26">
        <f>COUNTIF(Admin!$D$2:$D$1000,"High")+COUNTIF(Teacher!$D$2:$D$1000,"High")+COUNTIF(Student!$E$2:$E$994,"High")+COUNTIF(Mobile!$D$2:$D$1000,"High")</f>
        <v>45</v>
      </c>
      <c r="C23" s="3"/>
      <c r="D23" s="3"/>
      <c r="E23" s="3"/>
      <c r="F23" s="3"/>
    </row>
    <row r="24" ht="15.75" customHeight="1">
      <c r="A24" s="26" t="s">
        <v>248</v>
      </c>
      <c r="B24" s="26">
        <f>COUNTIF(Admin!$D$2:$D$1000,"Medium")+COUNTIF(Teacher!$D$2:$D$1000,"Medium")+COUNTIF(Student!$E$2:$E$994,"Medium")+COUNTIF(Mobile!$D$2:$D$1000,"Medium")</f>
        <v>79</v>
      </c>
      <c r="C24" s="3"/>
      <c r="D24" s="3"/>
      <c r="E24" s="3"/>
      <c r="F24" s="3"/>
    </row>
    <row r="25" ht="15.75" customHeight="1">
      <c r="A25" s="26" t="s">
        <v>304</v>
      </c>
      <c r="B25" s="26">
        <f>COUNTIF(Admin!$D$2:$D$1000,"Low")+COUNTIF(Teacher!$D$2:$D$1000,"Low")+COUNTIF(Student!$E$2:$E$994,"Low")+COUNTIF(Mobile!$D$2:$D$1000,"Low")</f>
        <v>43</v>
      </c>
      <c r="C25" s="3"/>
      <c r="D25" s="3"/>
      <c r="E25" s="3"/>
      <c r="F25" s="3"/>
    </row>
    <row r="26" ht="15.75" customHeight="1">
      <c r="A26" s="3"/>
      <c r="B26" s="3"/>
      <c r="C26" s="3"/>
      <c r="D26" s="3"/>
      <c r="E26" s="3"/>
      <c r="F26" s="3"/>
    </row>
    <row r="27" ht="15.75" customHeight="1">
      <c r="A27" s="7" t="s">
        <v>702</v>
      </c>
      <c r="B27" s="3"/>
      <c r="C27" s="3"/>
      <c r="D27" s="3"/>
      <c r="E27" s="3"/>
      <c r="F27" s="3"/>
    </row>
    <row r="28" ht="15.75" customHeight="1">
      <c r="A28" s="25" t="s">
        <v>234</v>
      </c>
      <c r="B28" s="25" t="s">
        <v>645</v>
      </c>
      <c r="C28" s="3"/>
      <c r="D28" s="3"/>
      <c r="E28" s="3"/>
      <c r="F28" s="3"/>
    </row>
    <row r="29" ht="15.75" customHeight="1">
      <c r="A29" s="26" t="s">
        <v>246</v>
      </c>
      <c r="B29" s="26">
        <f>COUNTIF(Admin!$M$2:$M$1000,"Not Executed")+COUNTIF(Teacher!$M$2:$M$1000,"Not Executed")+COUNTIF(Student!$N$2:$N$994,"Not Executed")+COUNTIF(Mobile!$M$2:$M$1000,"Not Executed")</f>
        <v>162</v>
      </c>
      <c r="C29" s="3"/>
      <c r="D29" s="3"/>
      <c r="E29" s="3"/>
      <c r="F29" s="3"/>
    </row>
    <row r="30" ht="15.75" customHeight="1">
      <c r="A30" s="26" t="s">
        <v>684</v>
      </c>
      <c r="B30" s="26">
        <f>COUNTIF(Admin!$M$2:$M$1000,"Passed")+COUNTIF(Teacher!$M$2:$M$1000,"Passed")+COUNTIF(Student!$N$2:$N$994,"Passed")+COUNTIF(Mobile!$M$2:$M$1000,"Passed")</f>
        <v>5</v>
      </c>
      <c r="C30" s="3"/>
      <c r="D30" s="3"/>
      <c r="E30" s="3"/>
      <c r="F30" s="3"/>
    </row>
    <row r="31" ht="15.75" customHeight="1">
      <c r="A31" s="26" t="s">
        <v>736</v>
      </c>
      <c r="B31" s="26">
        <f>COUNTIF(Admin!$M$2:$M$1000,"Failed")+COUNTIF(Teacher!$M$2:$M$1000,"Failed")+COUNTIF(Student!$N$2:$N$994,"Failed")+COUNTIF(Mobile!$M$2:$M$1000,"Failed")</f>
        <v>0</v>
      </c>
      <c r="C31" s="3"/>
      <c r="D31" s="3"/>
      <c r="E31" s="3"/>
      <c r="F31" s="3"/>
    </row>
    <row r="32" ht="15.75" customHeight="1">
      <c r="A32" s="26" t="s">
        <v>747</v>
      </c>
      <c r="B32" s="26">
        <f>COUNTIF(Admin!$M$2:$M$1000,"Blocked")+COUNTIF(Teacher!$M$2:$M$1000,"Blocked")+COUNTIF(Student!$N$2:$N$994,"Blocked")+COUNTIF(Mobile!$M$2:$M$1000,"Blocked")</f>
        <v>0</v>
      </c>
      <c r="C32" s="3"/>
      <c r="D32" s="3"/>
      <c r="E32" s="3"/>
      <c r="F32" s="3"/>
    </row>
    <row r="33" ht="15.75" customHeight="1">
      <c r="A33" s="3"/>
      <c r="B33" s="3"/>
      <c r="C33" s="3"/>
      <c r="D33" s="3"/>
      <c r="E33" s="3"/>
      <c r="F33" s="3"/>
    </row>
    <row r="34" ht="15.75" customHeight="1">
      <c r="A34" s="7" t="s">
        <v>754</v>
      </c>
      <c r="B34" s="3"/>
      <c r="C34" s="3"/>
      <c r="D34" s="3"/>
      <c r="E34" s="3"/>
      <c r="F34" s="3"/>
    </row>
    <row r="35" ht="15.75" customHeight="1">
      <c r="A35" s="26" t="s">
        <v>756</v>
      </c>
      <c r="B35" s="26">
        <f>SUM(B6:B9)</f>
        <v>167</v>
      </c>
      <c r="C35" s="3"/>
      <c r="D35" s="3"/>
      <c r="E35" s="3"/>
      <c r="F35" s="3"/>
    </row>
    <row r="36" ht="15.75" customHeight="1">
      <c r="A36" s="26" t="s">
        <v>765</v>
      </c>
      <c r="B36" s="26">
        <f>B30+B31+B32</f>
        <v>5</v>
      </c>
      <c r="C36" s="3"/>
      <c r="D36" s="3"/>
      <c r="E36" s="3"/>
      <c r="F36" s="3"/>
    </row>
    <row r="37" ht="15.75" customHeight="1">
      <c r="A37" s="26" t="s">
        <v>770</v>
      </c>
      <c r="B37" s="26">
        <f>IF((B30+B31+B32)=0,"N/A - nothing executed yet",B30/(B30+B31+B32))</f>
        <v>1</v>
      </c>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4.0"/>
    <col customWidth="1" min="3" max="3" width="30.0"/>
    <col customWidth="1" min="4" max="4" width="10.0"/>
    <col customWidth="1" min="5" max="5" width="40.0"/>
    <col customWidth="1" min="6" max="6" width="32.0"/>
    <col customWidth="1" min="7" max="7" width="34.0"/>
    <col customWidth="1" min="8" max="8" width="55.0"/>
    <col customWidth="1" min="9" max="9" width="45.0"/>
    <col customWidth="1" min="10" max="10" width="30.0"/>
    <col customWidth="1" min="11" max="11" width="12.0"/>
    <col customWidth="1" min="12" max="12" width="13.0"/>
    <col customWidth="1" min="13" max="13" width="14.0"/>
  </cols>
  <sheetData>
    <row r="1" ht="19.5" customHeight="1">
      <c r="A1" s="19" t="s">
        <v>223</v>
      </c>
      <c r="B1" s="19" t="s">
        <v>30</v>
      </c>
      <c r="C1" s="19" t="s">
        <v>224</v>
      </c>
      <c r="D1" s="19" t="s">
        <v>225</v>
      </c>
      <c r="E1" s="19" t="s">
        <v>226</v>
      </c>
      <c r="F1" s="19" t="s">
        <v>227</v>
      </c>
      <c r="G1" s="19" t="s">
        <v>228</v>
      </c>
      <c r="H1" s="19" t="s">
        <v>229</v>
      </c>
      <c r="I1" s="19" t="s">
        <v>230</v>
      </c>
      <c r="J1" s="19" t="s">
        <v>231</v>
      </c>
      <c r="K1" s="19" t="s">
        <v>232</v>
      </c>
      <c r="L1" s="19" t="s">
        <v>233</v>
      </c>
      <c r="M1" s="19" t="s">
        <v>234</v>
      </c>
    </row>
    <row r="2" ht="100.5" customHeight="1">
      <c r="A2" s="20" t="s">
        <v>235</v>
      </c>
      <c r="B2" s="20" t="s">
        <v>236</v>
      </c>
      <c r="C2" s="20" t="s">
        <v>237</v>
      </c>
      <c r="D2" s="20" t="s">
        <v>238</v>
      </c>
      <c r="E2" s="20" t="s">
        <v>239</v>
      </c>
      <c r="F2" s="20" t="s">
        <v>240</v>
      </c>
      <c r="G2" s="20" t="s">
        <v>11</v>
      </c>
      <c r="H2" s="20" t="s">
        <v>241</v>
      </c>
      <c r="I2" s="20" t="s">
        <v>242</v>
      </c>
      <c r="J2" s="20" t="s">
        <v>243</v>
      </c>
      <c r="K2" s="21" t="s">
        <v>244</v>
      </c>
      <c r="L2" s="22" t="s">
        <v>245</v>
      </c>
      <c r="M2" s="23" t="s">
        <v>246</v>
      </c>
    </row>
    <row r="3" ht="60.0" customHeight="1">
      <c r="A3" s="20" t="s">
        <v>247</v>
      </c>
      <c r="B3" s="20" t="s">
        <v>236</v>
      </c>
      <c r="C3" s="20" t="s">
        <v>237</v>
      </c>
      <c r="D3" s="20" t="s">
        <v>248</v>
      </c>
      <c r="E3" s="20" t="s">
        <v>249</v>
      </c>
      <c r="F3" s="20" t="s">
        <v>250</v>
      </c>
      <c r="G3" s="20" t="s">
        <v>11</v>
      </c>
      <c r="H3" s="20" t="s">
        <v>251</v>
      </c>
      <c r="I3" s="20" t="s">
        <v>252</v>
      </c>
      <c r="J3" s="20" t="s">
        <v>253</v>
      </c>
      <c r="K3" s="24" t="s">
        <v>254</v>
      </c>
      <c r="L3" s="22" t="s">
        <v>245</v>
      </c>
      <c r="M3" s="23" t="s">
        <v>246</v>
      </c>
    </row>
    <row r="4" ht="46.5" customHeight="1">
      <c r="A4" s="20" t="s">
        <v>255</v>
      </c>
      <c r="B4" s="20" t="s">
        <v>236</v>
      </c>
      <c r="C4" s="20" t="s">
        <v>237</v>
      </c>
      <c r="D4" s="20" t="s">
        <v>248</v>
      </c>
      <c r="E4" s="20" t="s">
        <v>256</v>
      </c>
      <c r="F4" s="20" t="s">
        <v>33</v>
      </c>
      <c r="G4" s="20" t="s">
        <v>14</v>
      </c>
      <c r="H4" s="20" t="s">
        <v>257</v>
      </c>
      <c r="I4" s="20" t="s">
        <v>258</v>
      </c>
      <c r="J4" s="20" t="s">
        <v>259</v>
      </c>
      <c r="K4" s="21" t="s">
        <v>244</v>
      </c>
      <c r="L4" s="22" t="s">
        <v>245</v>
      </c>
      <c r="M4" s="23" t="s">
        <v>246</v>
      </c>
    </row>
    <row r="5" ht="87.0" customHeight="1">
      <c r="A5" s="20" t="s">
        <v>260</v>
      </c>
      <c r="B5" s="20" t="s">
        <v>236</v>
      </c>
      <c r="C5" s="20" t="s">
        <v>261</v>
      </c>
      <c r="D5" s="20" t="s">
        <v>248</v>
      </c>
      <c r="E5" s="20" t="s">
        <v>262</v>
      </c>
      <c r="F5" s="20" t="s">
        <v>33</v>
      </c>
      <c r="G5" s="20" t="s">
        <v>263</v>
      </c>
      <c r="H5" s="20" t="s">
        <v>264</v>
      </c>
      <c r="I5" s="20" t="s">
        <v>265</v>
      </c>
      <c r="J5" s="20" t="s">
        <v>266</v>
      </c>
      <c r="K5" s="24" t="s">
        <v>254</v>
      </c>
      <c r="L5" s="22" t="s">
        <v>245</v>
      </c>
      <c r="M5" s="23" t="s">
        <v>246</v>
      </c>
    </row>
    <row r="6" ht="87.0" customHeight="1">
      <c r="A6" s="20" t="s">
        <v>267</v>
      </c>
      <c r="B6" s="20" t="s">
        <v>236</v>
      </c>
      <c r="C6" s="20" t="s">
        <v>268</v>
      </c>
      <c r="D6" s="20" t="s">
        <v>238</v>
      </c>
      <c r="E6" s="20" t="s">
        <v>269</v>
      </c>
      <c r="F6" s="20" t="s">
        <v>33</v>
      </c>
      <c r="G6" s="20" t="s">
        <v>22</v>
      </c>
      <c r="H6" s="20" t="s">
        <v>270</v>
      </c>
      <c r="I6" s="20" t="s">
        <v>271</v>
      </c>
      <c r="J6" s="20" t="s">
        <v>33</v>
      </c>
      <c r="K6" s="21" t="s">
        <v>244</v>
      </c>
      <c r="L6" s="22" t="s">
        <v>245</v>
      </c>
      <c r="M6" s="23" t="s">
        <v>246</v>
      </c>
    </row>
    <row r="7" ht="100.5" customHeight="1">
      <c r="A7" s="20" t="s">
        <v>272</v>
      </c>
      <c r="B7" s="20" t="s">
        <v>236</v>
      </c>
      <c r="C7" s="20" t="s">
        <v>273</v>
      </c>
      <c r="D7" s="20" t="s">
        <v>248</v>
      </c>
      <c r="E7" s="20" t="s">
        <v>274</v>
      </c>
      <c r="F7" s="20" t="s">
        <v>275</v>
      </c>
      <c r="G7" s="20" t="s">
        <v>276</v>
      </c>
      <c r="H7" s="20" t="s">
        <v>277</v>
      </c>
      <c r="I7" s="20" t="s">
        <v>278</v>
      </c>
      <c r="J7" s="20" t="s">
        <v>33</v>
      </c>
      <c r="K7" s="24" t="s">
        <v>254</v>
      </c>
      <c r="L7" s="22" t="s">
        <v>245</v>
      </c>
      <c r="M7" s="23" t="s">
        <v>246</v>
      </c>
    </row>
    <row r="8" ht="87.0" customHeight="1">
      <c r="A8" s="20" t="s">
        <v>279</v>
      </c>
      <c r="B8" s="20" t="s">
        <v>236</v>
      </c>
      <c r="C8" s="20" t="s">
        <v>273</v>
      </c>
      <c r="D8" s="20" t="s">
        <v>238</v>
      </c>
      <c r="E8" s="20" t="s">
        <v>280</v>
      </c>
      <c r="F8" s="20" t="s">
        <v>281</v>
      </c>
      <c r="G8" s="20" t="s">
        <v>282</v>
      </c>
      <c r="H8" s="20" t="s">
        <v>283</v>
      </c>
      <c r="I8" s="20" t="s">
        <v>285</v>
      </c>
      <c r="J8" s="20" t="s">
        <v>33</v>
      </c>
      <c r="K8" s="21" t="s">
        <v>244</v>
      </c>
      <c r="L8" s="22" t="s">
        <v>245</v>
      </c>
      <c r="M8" s="23" t="s">
        <v>246</v>
      </c>
    </row>
    <row r="9" ht="87.0" customHeight="1">
      <c r="A9" s="20" t="s">
        <v>287</v>
      </c>
      <c r="B9" s="20" t="s">
        <v>236</v>
      </c>
      <c r="C9" s="20" t="s">
        <v>273</v>
      </c>
      <c r="D9" s="20" t="s">
        <v>238</v>
      </c>
      <c r="E9" s="20" t="s">
        <v>290</v>
      </c>
      <c r="F9" s="20" t="s">
        <v>291</v>
      </c>
      <c r="G9" s="20" t="s">
        <v>292</v>
      </c>
      <c r="H9" s="20" t="s">
        <v>294</v>
      </c>
      <c r="I9" s="20" t="s">
        <v>296</v>
      </c>
      <c r="J9" s="20" t="s">
        <v>298</v>
      </c>
      <c r="K9" s="21" t="s">
        <v>244</v>
      </c>
      <c r="L9" s="22" t="s">
        <v>245</v>
      </c>
      <c r="M9" s="23" t="s">
        <v>246</v>
      </c>
    </row>
    <row r="10" ht="73.5" customHeight="1">
      <c r="A10" s="20" t="s">
        <v>299</v>
      </c>
      <c r="B10" s="20" t="s">
        <v>236</v>
      </c>
      <c r="C10" s="20" t="s">
        <v>273</v>
      </c>
      <c r="D10" s="20" t="s">
        <v>248</v>
      </c>
      <c r="E10" s="20" t="s">
        <v>290</v>
      </c>
      <c r="F10" s="20" t="s">
        <v>33</v>
      </c>
      <c r="G10" s="20" t="s">
        <v>300</v>
      </c>
      <c r="H10" s="20" t="s">
        <v>301</v>
      </c>
      <c r="I10" s="20" t="s">
        <v>302</v>
      </c>
      <c r="J10" s="20" t="s">
        <v>33</v>
      </c>
      <c r="K10" s="21" t="s">
        <v>244</v>
      </c>
      <c r="L10" s="22" t="s">
        <v>245</v>
      </c>
      <c r="M10" s="23" t="s">
        <v>246</v>
      </c>
    </row>
    <row r="11" ht="87.0" customHeight="1">
      <c r="A11" s="20" t="s">
        <v>303</v>
      </c>
      <c r="B11" s="20" t="s">
        <v>236</v>
      </c>
      <c r="C11" s="20" t="s">
        <v>273</v>
      </c>
      <c r="D11" s="20" t="s">
        <v>304</v>
      </c>
      <c r="E11" s="20" t="s">
        <v>305</v>
      </c>
      <c r="F11" s="20" t="s">
        <v>33</v>
      </c>
      <c r="G11" s="20" t="s">
        <v>306</v>
      </c>
      <c r="H11" s="20" t="s">
        <v>308</v>
      </c>
      <c r="I11" s="20" t="s">
        <v>309</v>
      </c>
      <c r="J11" s="20" t="s">
        <v>33</v>
      </c>
      <c r="K11" s="24" t="s">
        <v>254</v>
      </c>
      <c r="L11" s="22" t="s">
        <v>245</v>
      </c>
      <c r="M11" s="23" t="s">
        <v>246</v>
      </c>
    </row>
    <row r="12" ht="73.5" customHeight="1">
      <c r="A12" s="20" t="s">
        <v>311</v>
      </c>
      <c r="B12" s="20" t="s">
        <v>236</v>
      </c>
      <c r="C12" s="20" t="s">
        <v>312</v>
      </c>
      <c r="D12" s="20" t="s">
        <v>248</v>
      </c>
      <c r="E12" s="20" t="s">
        <v>314</v>
      </c>
      <c r="F12" s="20" t="s">
        <v>316</v>
      </c>
      <c r="G12" s="20" t="s">
        <v>317</v>
      </c>
      <c r="H12" s="20" t="s">
        <v>318</v>
      </c>
      <c r="I12" s="20" t="s">
        <v>319</v>
      </c>
      <c r="J12" s="20" t="s">
        <v>33</v>
      </c>
      <c r="K12" s="24" t="s">
        <v>254</v>
      </c>
      <c r="L12" s="22" t="s">
        <v>245</v>
      </c>
      <c r="M12" s="23" t="s">
        <v>246</v>
      </c>
    </row>
    <row r="13" ht="73.5" customHeight="1">
      <c r="A13" s="20" t="s">
        <v>320</v>
      </c>
      <c r="B13" s="20" t="s">
        <v>236</v>
      </c>
      <c r="C13" s="20" t="s">
        <v>321</v>
      </c>
      <c r="D13" s="20" t="s">
        <v>248</v>
      </c>
      <c r="E13" s="20" t="s">
        <v>323</v>
      </c>
      <c r="F13" s="20" t="s">
        <v>324</v>
      </c>
      <c r="G13" s="20" t="s">
        <v>325</v>
      </c>
      <c r="H13" s="20" t="s">
        <v>326</v>
      </c>
      <c r="I13" s="20" t="s">
        <v>328</v>
      </c>
      <c r="J13" s="20" t="s">
        <v>329</v>
      </c>
      <c r="K13" s="21" t="s">
        <v>244</v>
      </c>
      <c r="L13" s="22" t="s">
        <v>245</v>
      </c>
      <c r="M13" s="23" t="s">
        <v>246</v>
      </c>
    </row>
    <row r="14" ht="100.5" customHeight="1">
      <c r="A14" s="20" t="s">
        <v>332</v>
      </c>
      <c r="B14" s="20" t="s">
        <v>236</v>
      </c>
      <c r="C14" s="20" t="s">
        <v>333</v>
      </c>
      <c r="D14" s="20" t="s">
        <v>248</v>
      </c>
      <c r="E14" s="20" t="s">
        <v>334</v>
      </c>
      <c r="F14" s="20" t="s">
        <v>33</v>
      </c>
      <c r="G14" s="20" t="s">
        <v>335</v>
      </c>
      <c r="H14" s="20" t="s">
        <v>336</v>
      </c>
      <c r="I14" s="20" t="s">
        <v>338</v>
      </c>
      <c r="J14" s="20" t="s">
        <v>33</v>
      </c>
      <c r="K14" s="21" t="s">
        <v>244</v>
      </c>
      <c r="L14" s="22" t="s">
        <v>245</v>
      </c>
      <c r="M14" s="23" t="s">
        <v>246</v>
      </c>
    </row>
    <row r="15" ht="46.5" customHeight="1">
      <c r="A15" s="20" t="s">
        <v>340</v>
      </c>
      <c r="B15" s="20" t="s">
        <v>236</v>
      </c>
      <c r="C15" s="20" t="s">
        <v>333</v>
      </c>
      <c r="D15" s="20" t="s">
        <v>304</v>
      </c>
      <c r="E15" s="20" t="s">
        <v>274</v>
      </c>
      <c r="F15" s="20" t="s">
        <v>33</v>
      </c>
      <c r="G15" s="20" t="s">
        <v>343</v>
      </c>
      <c r="H15" s="20" t="s">
        <v>344</v>
      </c>
      <c r="I15" s="20" t="s">
        <v>346</v>
      </c>
      <c r="J15" s="20" t="s">
        <v>33</v>
      </c>
      <c r="K15" s="24" t="s">
        <v>254</v>
      </c>
      <c r="L15" s="22" t="s">
        <v>245</v>
      </c>
      <c r="M15" s="23" t="s">
        <v>246</v>
      </c>
    </row>
    <row r="16" ht="46.5" customHeight="1">
      <c r="A16" s="20" t="s">
        <v>348</v>
      </c>
      <c r="B16" s="20" t="s">
        <v>236</v>
      </c>
      <c r="C16" s="20" t="s">
        <v>333</v>
      </c>
      <c r="D16" s="20" t="s">
        <v>304</v>
      </c>
      <c r="E16" s="20" t="s">
        <v>274</v>
      </c>
      <c r="F16" s="20" t="s">
        <v>33</v>
      </c>
      <c r="G16" s="20" t="s">
        <v>350</v>
      </c>
      <c r="H16" s="20" t="s">
        <v>351</v>
      </c>
      <c r="I16" s="20" t="s">
        <v>353</v>
      </c>
      <c r="J16" s="20" t="s">
        <v>33</v>
      </c>
      <c r="K16" s="24" t="s">
        <v>254</v>
      </c>
      <c r="L16" s="22" t="s">
        <v>245</v>
      </c>
      <c r="M16" s="23" t="s">
        <v>246</v>
      </c>
    </row>
    <row r="17" ht="46.5" customHeight="1">
      <c r="A17" s="20" t="s">
        <v>355</v>
      </c>
      <c r="B17" s="20" t="s">
        <v>236</v>
      </c>
      <c r="C17" s="20" t="s">
        <v>357</v>
      </c>
      <c r="D17" s="20" t="s">
        <v>248</v>
      </c>
      <c r="E17" s="20" t="s">
        <v>359</v>
      </c>
      <c r="F17" s="20" t="s">
        <v>360</v>
      </c>
      <c r="G17" s="20" t="s">
        <v>361</v>
      </c>
      <c r="H17" s="20" t="s">
        <v>362</v>
      </c>
      <c r="I17" s="20" t="s">
        <v>363</v>
      </c>
      <c r="J17" s="20" t="s">
        <v>33</v>
      </c>
      <c r="K17" s="24" t="s">
        <v>254</v>
      </c>
      <c r="L17" s="22" t="s">
        <v>245</v>
      </c>
      <c r="M17" s="23" t="s">
        <v>246</v>
      </c>
    </row>
    <row r="18" ht="60.0" customHeight="1">
      <c r="A18" s="20" t="s">
        <v>365</v>
      </c>
      <c r="B18" s="20" t="s">
        <v>236</v>
      </c>
      <c r="C18" s="20" t="s">
        <v>357</v>
      </c>
      <c r="D18" s="20" t="s">
        <v>304</v>
      </c>
      <c r="E18" s="20" t="s">
        <v>274</v>
      </c>
      <c r="F18" s="20" t="s">
        <v>367</v>
      </c>
      <c r="G18" s="20" t="s">
        <v>368</v>
      </c>
      <c r="H18" s="20" t="s">
        <v>369</v>
      </c>
      <c r="I18" s="20" t="s">
        <v>371</v>
      </c>
      <c r="J18" s="20" t="s">
        <v>33</v>
      </c>
      <c r="K18" s="24" t="s">
        <v>254</v>
      </c>
      <c r="L18" s="22" t="s">
        <v>245</v>
      </c>
      <c r="M18" s="23" t="s">
        <v>246</v>
      </c>
    </row>
    <row r="19" ht="60.0" customHeight="1">
      <c r="A19" s="20" t="s">
        <v>373</v>
      </c>
      <c r="B19" s="20" t="s">
        <v>236</v>
      </c>
      <c r="C19" s="20" t="s">
        <v>357</v>
      </c>
      <c r="D19" s="20" t="s">
        <v>304</v>
      </c>
      <c r="E19" s="20" t="s">
        <v>274</v>
      </c>
      <c r="F19" s="20" t="s">
        <v>374</v>
      </c>
      <c r="G19" s="20" t="s">
        <v>375</v>
      </c>
      <c r="H19" s="20" t="s">
        <v>377</v>
      </c>
      <c r="I19" s="20" t="s">
        <v>378</v>
      </c>
      <c r="J19" s="20" t="s">
        <v>33</v>
      </c>
      <c r="K19" s="24" t="s">
        <v>254</v>
      </c>
      <c r="L19" s="22" t="s">
        <v>245</v>
      </c>
      <c r="M19" s="23" t="s">
        <v>246</v>
      </c>
    </row>
    <row r="20" ht="33.0" customHeight="1">
      <c r="A20" s="20" t="s">
        <v>382</v>
      </c>
      <c r="B20" s="20" t="s">
        <v>236</v>
      </c>
      <c r="C20" s="20" t="s">
        <v>357</v>
      </c>
      <c r="D20" s="20" t="s">
        <v>304</v>
      </c>
      <c r="E20" s="20" t="s">
        <v>384</v>
      </c>
      <c r="F20" s="20" t="s">
        <v>33</v>
      </c>
      <c r="G20" s="20" t="s">
        <v>386</v>
      </c>
      <c r="H20" s="20" t="s">
        <v>387</v>
      </c>
      <c r="I20" s="20" t="s">
        <v>388</v>
      </c>
      <c r="J20" s="20" t="s">
        <v>33</v>
      </c>
      <c r="K20" s="24" t="s">
        <v>254</v>
      </c>
      <c r="L20" s="22" t="s">
        <v>245</v>
      </c>
      <c r="M20" s="23" t="s">
        <v>246</v>
      </c>
    </row>
    <row r="21" ht="33.0" customHeight="1">
      <c r="A21" s="20" t="s">
        <v>389</v>
      </c>
      <c r="B21" s="20" t="s">
        <v>236</v>
      </c>
      <c r="C21" s="20" t="s">
        <v>391</v>
      </c>
      <c r="D21" s="20" t="s">
        <v>304</v>
      </c>
      <c r="E21" s="20" t="s">
        <v>274</v>
      </c>
      <c r="F21" s="20" t="s">
        <v>393</v>
      </c>
      <c r="G21" s="20" t="s">
        <v>395</v>
      </c>
      <c r="H21" s="20" t="s">
        <v>396</v>
      </c>
      <c r="I21" s="20" t="s">
        <v>397</v>
      </c>
      <c r="J21" s="20" t="s">
        <v>33</v>
      </c>
      <c r="K21" s="24" t="s">
        <v>254</v>
      </c>
      <c r="L21" s="22" t="s">
        <v>245</v>
      </c>
      <c r="M21" s="23" t="s">
        <v>246</v>
      </c>
    </row>
    <row r="22" ht="60.0" customHeight="1">
      <c r="A22" s="20" t="s">
        <v>399</v>
      </c>
      <c r="B22" s="20" t="s">
        <v>236</v>
      </c>
      <c r="C22" s="20" t="s">
        <v>391</v>
      </c>
      <c r="D22" s="20" t="s">
        <v>304</v>
      </c>
      <c r="E22" s="20" t="s">
        <v>402</v>
      </c>
      <c r="F22" s="20" t="s">
        <v>33</v>
      </c>
      <c r="G22" s="20" t="s">
        <v>404</v>
      </c>
      <c r="H22" s="20" t="s">
        <v>405</v>
      </c>
      <c r="I22" s="20" t="s">
        <v>406</v>
      </c>
      <c r="J22" s="20" t="s">
        <v>33</v>
      </c>
      <c r="K22" s="24" t="s">
        <v>254</v>
      </c>
      <c r="L22" s="22" t="s">
        <v>245</v>
      </c>
      <c r="M22" s="23" t="s">
        <v>246</v>
      </c>
    </row>
    <row r="23" ht="46.5" customHeight="1">
      <c r="A23" s="20" t="s">
        <v>408</v>
      </c>
      <c r="B23" s="20" t="s">
        <v>236</v>
      </c>
      <c r="C23" s="20" t="s">
        <v>409</v>
      </c>
      <c r="D23" s="20" t="s">
        <v>248</v>
      </c>
      <c r="E23" s="20" t="s">
        <v>411</v>
      </c>
      <c r="F23" s="20" t="s">
        <v>33</v>
      </c>
      <c r="G23" s="20" t="s">
        <v>412</v>
      </c>
      <c r="H23" s="20" t="s">
        <v>414</v>
      </c>
      <c r="I23" s="20" t="s">
        <v>416</v>
      </c>
      <c r="J23" s="20" t="s">
        <v>33</v>
      </c>
      <c r="K23" s="21" t="s">
        <v>244</v>
      </c>
      <c r="L23" s="22" t="s">
        <v>245</v>
      </c>
      <c r="M23" s="23" t="s">
        <v>246</v>
      </c>
    </row>
    <row r="24" ht="60.0" customHeight="1">
      <c r="A24" s="20" t="s">
        <v>418</v>
      </c>
      <c r="B24" s="20" t="s">
        <v>236</v>
      </c>
      <c r="C24" s="20" t="s">
        <v>409</v>
      </c>
      <c r="D24" s="20" t="s">
        <v>304</v>
      </c>
      <c r="E24" s="20" t="s">
        <v>419</v>
      </c>
      <c r="F24" s="20" t="s">
        <v>33</v>
      </c>
      <c r="G24" s="20" t="s">
        <v>421</v>
      </c>
      <c r="H24" s="20" t="s">
        <v>422</v>
      </c>
      <c r="I24" s="20" t="s">
        <v>423</v>
      </c>
      <c r="J24" s="20" t="s">
        <v>33</v>
      </c>
      <c r="K24" s="24" t="s">
        <v>254</v>
      </c>
      <c r="L24" s="22" t="s">
        <v>245</v>
      </c>
      <c r="M24" s="23" t="s">
        <v>246</v>
      </c>
    </row>
    <row r="25" ht="46.5" customHeight="1">
      <c r="A25" s="20" t="s">
        <v>425</v>
      </c>
      <c r="B25" s="20" t="s">
        <v>236</v>
      </c>
      <c r="C25" s="20" t="s">
        <v>426</v>
      </c>
      <c r="D25" s="20" t="s">
        <v>248</v>
      </c>
      <c r="E25" s="20" t="s">
        <v>274</v>
      </c>
      <c r="F25" s="20" t="s">
        <v>33</v>
      </c>
      <c r="G25" s="20" t="s">
        <v>428</v>
      </c>
      <c r="H25" s="20" t="s">
        <v>429</v>
      </c>
      <c r="I25" s="20" t="s">
        <v>430</v>
      </c>
      <c r="J25" s="20" t="s">
        <v>33</v>
      </c>
      <c r="K25" s="24" t="s">
        <v>254</v>
      </c>
      <c r="L25" s="22" t="s">
        <v>245</v>
      </c>
      <c r="M25" s="23" t="s">
        <v>246</v>
      </c>
    </row>
    <row r="26" ht="60.0" customHeight="1">
      <c r="A26" s="20" t="s">
        <v>432</v>
      </c>
      <c r="B26" s="20" t="s">
        <v>236</v>
      </c>
      <c r="C26" s="20" t="s">
        <v>426</v>
      </c>
      <c r="D26" s="20" t="s">
        <v>248</v>
      </c>
      <c r="E26" s="20" t="s">
        <v>274</v>
      </c>
      <c r="F26" s="20" t="s">
        <v>33</v>
      </c>
      <c r="G26" s="20" t="s">
        <v>433</v>
      </c>
      <c r="H26" s="20" t="s">
        <v>434</v>
      </c>
      <c r="I26" s="20" t="s">
        <v>436</v>
      </c>
      <c r="J26" s="20" t="s">
        <v>33</v>
      </c>
      <c r="K26" s="24" t="s">
        <v>254</v>
      </c>
      <c r="L26" s="22" t="s">
        <v>245</v>
      </c>
      <c r="M26" s="23" t="s">
        <v>246</v>
      </c>
    </row>
    <row r="27" ht="46.5" customHeight="1">
      <c r="A27" s="20" t="s">
        <v>438</v>
      </c>
      <c r="B27" s="20" t="s">
        <v>236</v>
      </c>
      <c r="C27" s="20" t="s">
        <v>439</v>
      </c>
      <c r="D27" s="20" t="s">
        <v>304</v>
      </c>
      <c r="E27" s="20" t="s">
        <v>441</v>
      </c>
      <c r="F27" s="20" t="s">
        <v>33</v>
      </c>
      <c r="G27" s="20" t="s">
        <v>442</v>
      </c>
      <c r="H27" s="20" t="s">
        <v>444</v>
      </c>
      <c r="I27" s="20" t="s">
        <v>445</v>
      </c>
      <c r="J27" s="20" t="s">
        <v>33</v>
      </c>
      <c r="K27" s="24" t="s">
        <v>254</v>
      </c>
      <c r="L27" s="22" t="s">
        <v>245</v>
      </c>
      <c r="M27" s="23" t="s">
        <v>246</v>
      </c>
    </row>
    <row r="28" ht="60.0" customHeight="1">
      <c r="A28" s="20" t="s">
        <v>448</v>
      </c>
      <c r="B28" s="20" t="s">
        <v>236</v>
      </c>
      <c r="C28" s="20" t="s">
        <v>452</v>
      </c>
      <c r="D28" s="20" t="s">
        <v>304</v>
      </c>
      <c r="E28" s="20" t="s">
        <v>274</v>
      </c>
      <c r="F28" s="20" t="s">
        <v>453</v>
      </c>
      <c r="G28" s="20" t="s">
        <v>454</v>
      </c>
      <c r="H28" s="20" t="s">
        <v>455</v>
      </c>
      <c r="I28" s="20" t="s">
        <v>457</v>
      </c>
      <c r="J28" s="20" t="s">
        <v>33</v>
      </c>
      <c r="K28" s="24" t="s">
        <v>254</v>
      </c>
      <c r="L28" s="22" t="s">
        <v>245</v>
      </c>
      <c r="M28" s="23" t="s">
        <v>246</v>
      </c>
    </row>
    <row r="29" ht="46.5" customHeight="1">
      <c r="A29" s="20" t="s">
        <v>459</v>
      </c>
      <c r="B29" s="20" t="s">
        <v>236</v>
      </c>
      <c r="C29" s="20" t="s">
        <v>461</v>
      </c>
      <c r="D29" s="20" t="s">
        <v>238</v>
      </c>
      <c r="E29" s="20" t="s">
        <v>463</v>
      </c>
      <c r="F29" s="20" t="s">
        <v>465</v>
      </c>
      <c r="G29" s="20" t="s">
        <v>466</v>
      </c>
      <c r="H29" s="20" t="s">
        <v>467</v>
      </c>
      <c r="I29" s="20" t="s">
        <v>468</v>
      </c>
      <c r="J29" s="20" t="s">
        <v>469</v>
      </c>
      <c r="K29" s="21" t="s">
        <v>244</v>
      </c>
      <c r="L29" s="22" t="s">
        <v>245</v>
      </c>
      <c r="M29" s="23" t="s">
        <v>246</v>
      </c>
    </row>
    <row r="30" ht="73.5" customHeight="1">
      <c r="A30" s="20" t="s">
        <v>471</v>
      </c>
      <c r="B30" s="20" t="s">
        <v>236</v>
      </c>
      <c r="C30" s="20" t="s">
        <v>472</v>
      </c>
      <c r="D30" s="20" t="s">
        <v>238</v>
      </c>
      <c r="E30" s="20" t="s">
        <v>474</v>
      </c>
      <c r="F30" s="20" t="s">
        <v>33</v>
      </c>
      <c r="G30" s="20" t="s">
        <v>476</v>
      </c>
      <c r="H30" s="20" t="s">
        <v>478</v>
      </c>
      <c r="I30" s="20" t="s">
        <v>480</v>
      </c>
      <c r="J30" s="20" t="s">
        <v>481</v>
      </c>
      <c r="K30" s="21" t="s">
        <v>244</v>
      </c>
      <c r="L30" s="22" t="s">
        <v>245</v>
      </c>
      <c r="M30" s="23" t="s">
        <v>246</v>
      </c>
    </row>
    <row r="31" ht="60.0" customHeight="1">
      <c r="A31" s="20" t="s">
        <v>483</v>
      </c>
      <c r="B31" s="20" t="s">
        <v>236</v>
      </c>
      <c r="C31" s="20" t="s">
        <v>484</v>
      </c>
      <c r="D31" s="20" t="s">
        <v>238</v>
      </c>
      <c r="E31" s="20" t="s">
        <v>485</v>
      </c>
      <c r="F31" s="20" t="s">
        <v>487</v>
      </c>
      <c r="G31" s="20" t="s">
        <v>11</v>
      </c>
      <c r="H31" s="20" t="s">
        <v>488</v>
      </c>
      <c r="I31" s="20" t="s">
        <v>489</v>
      </c>
      <c r="J31" s="20" t="s">
        <v>490</v>
      </c>
      <c r="K31" s="21" t="s">
        <v>244</v>
      </c>
      <c r="L31" s="22" t="s">
        <v>245</v>
      </c>
      <c r="M31" s="23" t="s">
        <v>246</v>
      </c>
    </row>
    <row r="32" ht="87.0" customHeight="1">
      <c r="A32" s="20" t="s">
        <v>493</v>
      </c>
      <c r="B32" s="20" t="s">
        <v>236</v>
      </c>
      <c r="C32" s="20" t="s">
        <v>484</v>
      </c>
      <c r="D32" s="20" t="s">
        <v>238</v>
      </c>
      <c r="E32" s="20" t="s">
        <v>494</v>
      </c>
      <c r="F32" s="20" t="s">
        <v>496</v>
      </c>
      <c r="G32" s="20" t="s">
        <v>497</v>
      </c>
      <c r="H32" s="20" t="s">
        <v>498</v>
      </c>
      <c r="I32" s="20" t="s">
        <v>499</v>
      </c>
      <c r="J32" s="20" t="s">
        <v>500</v>
      </c>
      <c r="K32" s="21" t="s">
        <v>244</v>
      </c>
      <c r="L32" s="22" t="s">
        <v>245</v>
      </c>
      <c r="M32" s="23" t="s">
        <v>246</v>
      </c>
    </row>
    <row r="33" ht="73.5" customHeight="1">
      <c r="A33" s="20" t="s">
        <v>502</v>
      </c>
      <c r="B33" s="20" t="s">
        <v>236</v>
      </c>
      <c r="C33" s="20" t="s">
        <v>503</v>
      </c>
      <c r="D33" s="20" t="s">
        <v>248</v>
      </c>
      <c r="E33" s="20" t="s">
        <v>274</v>
      </c>
      <c r="F33" s="20" t="s">
        <v>33</v>
      </c>
      <c r="G33" s="20" t="s">
        <v>505</v>
      </c>
      <c r="H33" s="20" t="s">
        <v>506</v>
      </c>
      <c r="I33" s="20" t="s">
        <v>507</v>
      </c>
      <c r="J33" s="20" t="s">
        <v>33</v>
      </c>
      <c r="K33" s="24" t="s">
        <v>254</v>
      </c>
      <c r="L33" s="22" t="s">
        <v>245</v>
      </c>
      <c r="M33" s="23" t="s">
        <v>246</v>
      </c>
    </row>
    <row r="34" ht="208.5" customHeight="1">
      <c r="A34" s="20" t="s">
        <v>510</v>
      </c>
      <c r="B34" s="20" t="s">
        <v>236</v>
      </c>
      <c r="C34" s="20" t="s">
        <v>511</v>
      </c>
      <c r="D34" s="20" t="s">
        <v>238</v>
      </c>
      <c r="E34" s="20" t="s">
        <v>274</v>
      </c>
      <c r="F34" s="20" t="s">
        <v>512</v>
      </c>
      <c r="G34" s="20" t="s">
        <v>513</v>
      </c>
      <c r="H34" s="20" t="s">
        <v>515</v>
      </c>
      <c r="I34" s="20" t="s">
        <v>517</v>
      </c>
      <c r="J34" s="20" t="s">
        <v>519</v>
      </c>
      <c r="K34" s="21" t="s">
        <v>244</v>
      </c>
      <c r="L34" s="22" t="s">
        <v>245</v>
      </c>
      <c r="M34" s="23" t="s">
        <v>246</v>
      </c>
    </row>
    <row r="35" ht="100.5" customHeight="1">
      <c r="A35" s="20" t="s">
        <v>521</v>
      </c>
      <c r="B35" s="20" t="s">
        <v>236</v>
      </c>
      <c r="C35" s="20" t="s">
        <v>523</v>
      </c>
      <c r="D35" s="20" t="s">
        <v>248</v>
      </c>
      <c r="E35" s="20" t="s">
        <v>274</v>
      </c>
      <c r="F35" s="20" t="s">
        <v>33</v>
      </c>
      <c r="G35" s="20" t="s">
        <v>524</v>
      </c>
      <c r="H35" s="20" t="s">
        <v>526</v>
      </c>
      <c r="I35" s="20" t="s">
        <v>527</v>
      </c>
      <c r="J35" s="20" t="s">
        <v>33</v>
      </c>
      <c r="K35" s="24" t="s">
        <v>254</v>
      </c>
      <c r="L35" s="22" t="s">
        <v>245</v>
      </c>
      <c r="M35" s="23" t="s">
        <v>246</v>
      </c>
    </row>
    <row r="36" ht="46.5" customHeight="1">
      <c r="A36" s="20" t="s">
        <v>529</v>
      </c>
      <c r="B36" s="20" t="s">
        <v>236</v>
      </c>
      <c r="C36" s="20" t="s">
        <v>530</v>
      </c>
      <c r="D36" s="20" t="s">
        <v>248</v>
      </c>
      <c r="E36" s="20" t="s">
        <v>290</v>
      </c>
      <c r="F36" s="20" t="s">
        <v>33</v>
      </c>
      <c r="G36" s="20" t="s">
        <v>531</v>
      </c>
      <c r="H36" s="20" t="s">
        <v>533</v>
      </c>
      <c r="I36" s="20" t="s">
        <v>534</v>
      </c>
      <c r="J36" s="20" t="s">
        <v>33</v>
      </c>
      <c r="K36" s="24" t="s">
        <v>254</v>
      </c>
      <c r="L36" s="22" t="s">
        <v>245</v>
      </c>
      <c r="M36" s="23" t="s">
        <v>246</v>
      </c>
    </row>
    <row r="37" ht="46.5" customHeight="1">
      <c r="A37" s="20" t="s">
        <v>537</v>
      </c>
      <c r="B37" s="20" t="s">
        <v>236</v>
      </c>
      <c r="C37" s="20" t="s">
        <v>530</v>
      </c>
      <c r="D37" s="20" t="s">
        <v>304</v>
      </c>
      <c r="E37" s="20" t="s">
        <v>290</v>
      </c>
      <c r="F37" s="20" t="s">
        <v>33</v>
      </c>
      <c r="G37" s="20" t="s">
        <v>539</v>
      </c>
      <c r="H37" s="20" t="s">
        <v>540</v>
      </c>
      <c r="I37" s="20" t="s">
        <v>541</v>
      </c>
      <c r="J37" s="20" t="s">
        <v>33</v>
      </c>
      <c r="K37" s="24" t="s">
        <v>254</v>
      </c>
      <c r="L37" s="22" t="s">
        <v>245</v>
      </c>
      <c r="M37" s="23" t="s">
        <v>246</v>
      </c>
    </row>
    <row r="38" ht="60.0" customHeight="1">
      <c r="A38" s="20" t="s">
        <v>543</v>
      </c>
      <c r="B38" s="20" t="s">
        <v>236</v>
      </c>
      <c r="C38" s="20" t="s">
        <v>530</v>
      </c>
      <c r="D38" s="20" t="s">
        <v>304</v>
      </c>
      <c r="E38" s="20" t="s">
        <v>290</v>
      </c>
      <c r="F38" s="20" t="s">
        <v>33</v>
      </c>
      <c r="G38" s="20" t="s">
        <v>544</v>
      </c>
      <c r="H38" s="20" t="s">
        <v>546</v>
      </c>
      <c r="I38" s="20" t="s">
        <v>547</v>
      </c>
      <c r="J38" s="20" t="s">
        <v>33</v>
      </c>
      <c r="K38" s="24" t="s">
        <v>254</v>
      </c>
      <c r="L38" s="22" t="s">
        <v>245</v>
      </c>
      <c r="M38" s="23" t="s">
        <v>246</v>
      </c>
    </row>
    <row r="39" ht="46.5" customHeight="1">
      <c r="A39" s="20" t="s">
        <v>549</v>
      </c>
      <c r="B39" s="20" t="s">
        <v>236</v>
      </c>
      <c r="C39" s="20" t="s">
        <v>530</v>
      </c>
      <c r="D39" s="20" t="s">
        <v>304</v>
      </c>
      <c r="E39" s="20" t="s">
        <v>290</v>
      </c>
      <c r="F39" s="20" t="s">
        <v>33</v>
      </c>
      <c r="G39" s="20" t="s">
        <v>551</v>
      </c>
      <c r="H39" s="20" t="s">
        <v>552</v>
      </c>
      <c r="I39" s="20" t="s">
        <v>553</v>
      </c>
      <c r="J39" s="20" t="s">
        <v>33</v>
      </c>
      <c r="K39" s="24" t="s">
        <v>254</v>
      </c>
      <c r="L39" s="22" t="s">
        <v>245</v>
      </c>
      <c r="M39" s="23" t="s">
        <v>246</v>
      </c>
    </row>
    <row r="40" ht="33.0" customHeight="1">
      <c r="A40" s="20" t="s">
        <v>554</v>
      </c>
      <c r="B40" s="20" t="s">
        <v>236</v>
      </c>
      <c r="C40" s="20" t="s">
        <v>530</v>
      </c>
      <c r="D40" s="20" t="s">
        <v>304</v>
      </c>
      <c r="E40" s="20" t="s">
        <v>290</v>
      </c>
      <c r="F40" s="20" t="s">
        <v>33</v>
      </c>
      <c r="G40" s="20" t="s">
        <v>556</v>
      </c>
      <c r="H40" s="20" t="s">
        <v>558</v>
      </c>
      <c r="I40" s="20" t="s">
        <v>559</v>
      </c>
      <c r="J40" s="20" t="s">
        <v>33</v>
      </c>
      <c r="K40" s="24" t="s">
        <v>254</v>
      </c>
      <c r="L40" s="22" t="s">
        <v>245</v>
      </c>
      <c r="M40" s="23" t="s">
        <v>246</v>
      </c>
    </row>
    <row r="41" ht="60.0" customHeight="1">
      <c r="A41" s="20" t="s">
        <v>560</v>
      </c>
      <c r="B41" s="20" t="s">
        <v>236</v>
      </c>
      <c r="C41" s="20" t="s">
        <v>530</v>
      </c>
      <c r="D41" s="20" t="s">
        <v>248</v>
      </c>
      <c r="E41" s="20" t="s">
        <v>290</v>
      </c>
      <c r="F41" s="20" t="s">
        <v>33</v>
      </c>
      <c r="G41" s="20" t="s">
        <v>562</v>
      </c>
      <c r="H41" s="20" t="s">
        <v>563</v>
      </c>
      <c r="I41" s="20" t="s">
        <v>564</v>
      </c>
      <c r="J41" s="20" t="s">
        <v>33</v>
      </c>
      <c r="K41" s="24" t="s">
        <v>254</v>
      </c>
      <c r="L41" s="22" t="s">
        <v>245</v>
      </c>
      <c r="M41" s="23" t="s">
        <v>246</v>
      </c>
    </row>
    <row r="42" ht="87.0" customHeight="1">
      <c r="A42" s="20" t="s">
        <v>568</v>
      </c>
      <c r="B42" s="20" t="s">
        <v>236</v>
      </c>
      <c r="C42" s="20" t="s">
        <v>569</v>
      </c>
      <c r="D42" s="20" t="s">
        <v>238</v>
      </c>
      <c r="E42" s="20" t="s">
        <v>570</v>
      </c>
      <c r="F42" s="20" t="s">
        <v>33</v>
      </c>
      <c r="G42" s="20" t="s">
        <v>571</v>
      </c>
      <c r="H42" s="20" t="s">
        <v>572</v>
      </c>
      <c r="I42" s="20" t="s">
        <v>577</v>
      </c>
      <c r="J42" s="20" t="s">
        <v>33</v>
      </c>
      <c r="K42" s="24" t="s">
        <v>254</v>
      </c>
      <c r="L42" s="22" t="s">
        <v>245</v>
      </c>
      <c r="M42" s="23" t="s">
        <v>246</v>
      </c>
    </row>
    <row r="43" ht="87.0" customHeight="1">
      <c r="A43" s="20" t="s">
        <v>579</v>
      </c>
      <c r="B43" s="20" t="s">
        <v>236</v>
      </c>
      <c r="C43" s="20" t="s">
        <v>580</v>
      </c>
      <c r="D43" s="20" t="s">
        <v>238</v>
      </c>
      <c r="E43" s="20" t="s">
        <v>581</v>
      </c>
      <c r="F43" s="20" t="s">
        <v>33</v>
      </c>
      <c r="G43" s="20" t="s">
        <v>582</v>
      </c>
      <c r="H43" s="20" t="s">
        <v>583</v>
      </c>
      <c r="I43" s="20" t="s">
        <v>585</v>
      </c>
      <c r="J43" s="20" t="s">
        <v>586</v>
      </c>
      <c r="K43" s="24" t="s">
        <v>254</v>
      </c>
      <c r="L43" s="22" t="s">
        <v>245</v>
      </c>
      <c r="M43" s="23" t="s">
        <v>246</v>
      </c>
    </row>
    <row r="44" ht="262.5" customHeight="1">
      <c r="A44" s="20" t="s">
        <v>589</v>
      </c>
      <c r="B44" s="20" t="s">
        <v>236</v>
      </c>
      <c r="C44" s="20" t="s">
        <v>591</v>
      </c>
      <c r="D44" s="20" t="s">
        <v>238</v>
      </c>
      <c r="E44" s="20" t="s">
        <v>274</v>
      </c>
      <c r="F44" s="20" t="s">
        <v>593</v>
      </c>
      <c r="G44" s="20" t="s">
        <v>594</v>
      </c>
      <c r="H44" s="20" t="s">
        <v>596</v>
      </c>
      <c r="I44" s="20" t="s">
        <v>597</v>
      </c>
      <c r="J44" s="20" t="s">
        <v>599</v>
      </c>
      <c r="K44" s="21" t="s">
        <v>244</v>
      </c>
      <c r="L44" s="22" t="s">
        <v>245</v>
      </c>
      <c r="M44" s="23" t="s">
        <v>246</v>
      </c>
    </row>
    <row r="45" ht="195.0" customHeight="1">
      <c r="A45" s="20" t="s">
        <v>601</v>
      </c>
      <c r="B45" s="20" t="s">
        <v>602</v>
      </c>
      <c r="C45" s="20" t="s">
        <v>604</v>
      </c>
      <c r="D45" s="20" t="s">
        <v>248</v>
      </c>
      <c r="E45" s="20" t="s">
        <v>606</v>
      </c>
      <c r="F45" s="20" t="s">
        <v>607</v>
      </c>
      <c r="G45" s="20" t="s">
        <v>608</v>
      </c>
      <c r="H45" s="20" t="s">
        <v>610</v>
      </c>
      <c r="I45" s="20" t="s">
        <v>611</v>
      </c>
      <c r="J45" s="20" t="s">
        <v>612</v>
      </c>
      <c r="K45" s="24" t="s">
        <v>254</v>
      </c>
      <c r="L45" s="22" t="s">
        <v>245</v>
      </c>
      <c r="M45" s="23" t="s">
        <v>246</v>
      </c>
    </row>
    <row r="46" ht="15.75" customHeight="1">
      <c r="A46" s="3"/>
      <c r="B46" s="3"/>
      <c r="C46" s="3"/>
      <c r="D46" s="3"/>
      <c r="E46" s="3"/>
      <c r="F46" s="3"/>
      <c r="G46" s="3"/>
      <c r="H46" s="3"/>
      <c r="I46" s="3"/>
      <c r="J46" s="3"/>
      <c r="K46" s="3"/>
      <c r="L46" s="3"/>
      <c r="M46" s="3"/>
    </row>
    <row r="47" ht="15.75" customHeight="1">
      <c r="A47" s="3"/>
      <c r="B47" s="3"/>
      <c r="C47" s="3"/>
      <c r="D47" s="3"/>
      <c r="E47" s="3"/>
      <c r="F47" s="3"/>
      <c r="G47" s="3"/>
      <c r="H47" s="3"/>
      <c r="I47" s="3"/>
      <c r="J47" s="3"/>
      <c r="K47" s="3"/>
      <c r="L47" s="3"/>
      <c r="M47" s="3"/>
    </row>
    <row r="48" ht="15.75" customHeight="1">
      <c r="A48" s="3"/>
      <c r="B48" s="3"/>
      <c r="C48" s="3"/>
      <c r="D48" s="3"/>
      <c r="E48" s="3"/>
      <c r="F48" s="3"/>
      <c r="G48" s="3"/>
      <c r="H48" s="3"/>
      <c r="I48" s="3"/>
      <c r="J48" s="3"/>
      <c r="K48" s="3"/>
      <c r="L48" s="3"/>
      <c r="M48" s="3"/>
    </row>
    <row r="49" ht="15.75" customHeight="1">
      <c r="A49" s="3"/>
      <c r="B49" s="3"/>
      <c r="C49" s="3"/>
      <c r="D49" s="3"/>
      <c r="E49" s="3"/>
      <c r="F49" s="3"/>
      <c r="G49" s="3"/>
      <c r="H49" s="3"/>
      <c r="I49" s="3"/>
      <c r="J49" s="3"/>
      <c r="K49" s="3"/>
      <c r="L49" s="3"/>
      <c r="M49" s="3"/>
    </row>
    <row r="50" ht="15.75" customHeight="1">
      <c r="A50" s="3"/>
      <c r="B50" s="3"/>
      <c r="C50" s="3"/>
      <c r="D50" s="3"/>
      <c r="E50" s="3"/>
      <c r="F50" s="3"/>
      <c r="G50" s="3"/>
      <c r="H50" s="3"/>
      <c r="I50" s="3"/>
      <c r="J50" s="3"/>
      <c r="K50" s="3"/>
      <c r="L50" s="3"/>
      <c r="M50" s="3"/>
    </row>
    <row r="51" ht="15.75" customHeight="1">
      <c r="A51" s="3"/>
      <c r="B51" s="3"/>
      <c r="C51" s="3"/>
      <c r="D51" s="3"/>
      <c r="E51" s="3"/>
      <c r="F51" s="3"/>
      <c r="G51" s="3"/>
      <c r="H51" s="3"/>
      <c r="I51" s="3"/>
      <c r="J51" s="3"/>
      <c r="K51" s="3"/>
      <c r="L51" s="3"/>
      <c r="M51" s="3"/>
    </row>
    <row r="52" ht="15.75" customHeight="1">
      <c r="A52" s="3"/>
      <c r="B52" s="3"/>
      <c r="C52" s="3"/>
      <c r="D52" s="3"/>
      <c r="E52" s="3"/>
      <c r="F52" s="3"/>
      <c r="G52" s="3"/>
      <c r="H52" s="3"/>
      <c r="I52" s="3"/>
      <c r="J52" s="3"/>
      <c r="K52" s="3"/>
      <c r="L52" s="3"/>
      <c r="M52" s="3"/>
    </row>
    <row r="53" ht="15.75" customHeight="1">
      <c r="A53" s="3"/>
      <c r="B53" s="3"/>
      <c r="C53" s="3"/>
      <c r="D53" s="3"/>
      <c r="E53" s="3"/>
      <c r="F53" s="3"/>
      <c r="G53" s="3"/>
      <c r="H53" s="3"/>
      <c r="I53" s="3"/>
      <c r="J53" s="3"/>
      <c r="K53" s="3"/>
      <c r="L53" s="3"/>
      <c r="M53" s="3"/>
    </row>
    <row r="54" ht="15.75" customHeight="1">
      <c r="A54" s="3"/>
      <c r="B54" s="3"/>
      <c r="C54" s="3"/>
      <c r="D54" s="3"/>
      <c r="E54" s="3"/>
      <c r="F54" s="3"/>
      <c r="G54" s="3"/>
      <c r="H54" s="3"/>
      <c r="I54" s="3"/>
      <c r="J54" s="3"/>
      <c r="K54" s="3"/>
      <c r="L54" s="3"/>
      <c r="M54" s="3"/>
    </row>
    <row r="55" ht="15.75" customHeight="1">
      <c r="A55" s="3"/>
      <c r="B55" s="3"/>
      <c r="C55" s="3"/>
      <c r="D55" s="3"/>
      <c r="E55" s="3"/>
      <c r="F55" s="3"/>
      <c r="G55" s="3"/>
      <c r="H55" s="3"/>
      <c r="I55" s="3"/>
      <c r="J55" s="3"/>
      <c r="K55" s="3"/>
      <c r="L55" s="3"/>
      <c r="M55" s="3"/>
    </row>
    <row r="56" ht="15.75" customHeight="1">
      <c r="A56" s="3"/>
      <c r="B56" s="3"/>
      <c r="C56" s="3"/>
      <c r="D56" s="3"/>
      <c r="E56" s="3"/>
      <c r="F56" s="3"/>
      <c r="G56" s="3"/>
      <c r="H56" s="3"/>
      <c r="I56" s="3"/>
      <c r="J56" s="3"/>
      <c r="K56" s="3"/>
      <c r="L56" s="3"/>
      <c r="M56" s="3"/>
    </row>
    <row r="57" ht="15.75" customHeight="1">
      <c r="A57" s="3"/>
      <c r="B57" s="3"/>
      <c r="C57" s="3"/>
      <c r="D57" s="3"/>
      <c r="E57" s="3"/>
      <c r="F57" s="3"/>
      <c r="G57" s="3"/>
      <c r="H57" s="3"/>
      <c r="I57" s="3"/>
      <c r="J57" s="3"/>
      <c r="K57" s="3"/>
      <c r="L57" s="3"/>
      <c r="M57" s="3"/>
    </row>
    <row r="58" ht="15.75" customHeight="1">
      <c r="A58" s="3"/>
      <c r="B58" s="3"/>
      <c r="C58" s="3"/>
      <c r="D58" s="3"/>
      <c r="E58" s="3"/>
      <c r="F58" s="3"/>
      <c r="G58" s="3"/>
      <c r="H58" s="3"/>
      <c r="I58" s="3"/>
      <c r="J58" s="3"/>
      <c r="K58" s="3"/>
      <c r="L58" s="3"/>
      <c r="M58" s="3"/>
    </row>
    <row r="59" ht="15.75" customHeight="1">
      <c r="A59" s="3"/>
      <c r="B59" s="3"/>
      <c r="C59" s="3"/>
      <c r="D59" s="3"/>
      <c r="E59" s="3"/>
      <c r="F59" s="3"/>
      <c r="G59" s="3"/>
      <c r="H59" s="3"/>
      <c r="I59" s="3"/>
      <c r="J59" s="3"/>
      <c r="K59" s="3"/>
      <c r="L59" s="3"/>
      <c r="M59" s="3"/>
    </row>
    <row r="60" ht="15.75" customHeight="1">
      <c r="A60" s="3"/>
      <c r="B60" s="3"/>
      <c r="C60" s="3"/>
      <c r="D60" s="3"/>
      <c r="E60" s="3"/>
      <c r="F60" s="3"/>
      <c r="G60" s="3"/>
      <c r="H60" s="3"/>
      <c r="I60" s="3"/>
      <c r="J60" s="3"/>
      <c r="K60" s="3"/>
      <c r="L60" s="3"/>
      <c r="M60" s="3"/>
    </row>
    <row r="61" ht="15.75" customHeight="1">
      <c r="A61" s="3"/>
      <c r="B61" s="3"/>
      <c r="C61" s="3"/>
      <c r="D61" s="3"/>
      <c r="E61" s="3"/>
      <c r="F61" s="3"/>
      <c r="G61" s="3"/>
      <c r="H61" s="3"/>
      <c r="I61" s="3"/>
      <c r="J61" s="3"/>
      <c r="K61" s="3"/>
      <c r="L61" s="3"/>
      <c r="M61" s="3"/>
    </row>
    <row r="62" ht="15.75" customHeight="1">
      <c r="A62" s="3"/>
      <c r="B62" s="3"/>
      <c r="C62" s="3"/>
      <c r="D62" s="3"/>
      <c r="E62" s="3"/>
      <c r="F62" s="3"/>
      <c r="G62" s="3"/>
      <c r="H62" s="3"/>
      <c r="I62" s="3"/>
      <c r="J62" s="3"/>
      <c r="K62" s="3"/>
      <c r="L62" s="3"/>
      <c r="M62" s="3"/>
    </row>
    <row r="63" ht="15.75" customHeight="1">
      <c r="A63" s="3"/>
      <c r="B63" s="3"/>
      <c r="C63" s="3"/>
      <c r="D63" s="3"/>
      <c r="E63" s="3"/>
      <c r="F63" s="3"/>
      <c r="G63" s="3"/>
      <c r="H63" s="3"/>
      <c r="I63" s="3"/>
      <c r="J63" s="3"/>
      <c r="K63" s="3"/>
      <c r="L63" s="3"/>
      <c r="M63" s="3"/>
    </row>
    <row r="64" ht="15.75" customHeight="1">
      <c r="A64" s="3"/>
      <c r="B64" s="3"/>
      <c r="C64" s="3"/>
      <c r="D64" s="3"/>
      <c r="E64" s="3"/>
      <c r="F64" s="3"/>
      <c r="G64" s="3"/>
      <c r="H64" s="3"/>
      <c r="I64" s="3"/>
      <c r="J64" s="3"/>
      <c r="K64" s="3"/>
      <c r="L64" s="3"/>
      <c r="M64" s="3"/>
    </row>
    <row r="65" ht="15.75" customHeight="1">
      <c r="A65" s="3"/>
      <c r="B65" s="3"/>
      <c r="C65" s="3"/>
      <c r="D65" s="3"/>
      <c r="E65" s="3"/>
      <c r="F65" s="3"/>
      <c r="G65" s="3"/>
      <c r="H65" s="3"/>
      <c r="I65" s="3"/>
      <c r="J65" s="3"/>
      <c r="K65" s="3"/>
      <c r="L65" s="3"/>
      <c r="M65" s="3"/>
    </row>
    <row r="66" ht="15.75" customHeight="1">
      <c r="A66" s="3"/>
      <c r="B66" s="3"/>
      <c r="C66" s="3"/>
      <c r="D66" s="3"/>
      <c r="E66" s="3"/>
      <c r="F66" s="3"/>
      <c r="G66" s="3"/>
      <c r="H66" s="3"/>
      <c r="I66" s="3"/>
      <c r="J66" s="3"/>
      <c r="K66" s="3"/>
      <c r="L66" s="3"/>
      <c r="M66" s="3"/>
    </row>
    <row r="67" ht="15.75" customHeight="1">
      <c r="A67" s="3"/>
      <c r="B67" s="3"/>
      <c r="C67" s="3"/>
      <c r="D67" s="3"/>
      <c r="E67" s="3"/>
      <c r="F67" s="3"/>
      <c r="G67" s="3"/>
      <c r="H67" s="3"/>
      <c r="I67" s="3"/>
      <c r="J67" s="3"/>
      <c r="K67" s="3"/>
      <c r="L67" s="3"/>
      <c r="M67" s="3"/>
    </row>
    <row r="68" ht="15.75" customHeight="1">
      <c r="A68" s="3"/>
      <c r="B68" s="3"/>
      <c r="C68" s="3"/>
      <c r="D68" s="3"/>
      <c r="E68" s="3"/>
      <c r="F68" s="3"/>
      <c r="G68" s="3"/>
      <c r="H68" s="3"/>
      <c r="I68" s="3"/>
      <c r="J68" s="3"/>
      <c r="K68" s="3"/>
      <c r="L68" s="3"/>
      <c r="M68" s="3"/>
    </row>
    <row r="69" ht="15.75" customHeight="1">
      <c r="A69" s="3"/>
      <c r="B69" s="3"/>
      <c r="C69" s="3"/>
      <c r="D69" s="3"/>
      <c r="E69" s="3"/>
      <c r="F69" s="3"/>
      <c r="G69" s="3"/>
      <c r="H69" s="3"/>
      <c r="I69" s="3"/>
      <c r="J69" s="3"/>
      <c r="K69" s="3"/>
      <c r="L69" s="3"/>
      <c r="M69" s="3"/>
    </row>
    <row r="70" ht="15.75" customHeight="1">
      <c r="A70" s="3"/>
      <c r="B70" s="3"/>
      <c r="C70" s="3"/>
      <c r="D70" s="3"/>
      <c r="E70" s="3"/>
      <c r="F70" s="3"/>
      <c r="G70" s="3"/>
      <c r="H70" s="3"/>
      <c r="I70" s="3"/>
      <c r="J70" s="3"/>
      <c r="K70" s="3"/>
      <c r="L70" s="3"/>
      <c r="M70" s="3"/>
    </row>
    <row r="71" ht="15.75" customHeight="1">
      <c r="A71" s="3"/>
      <c r="B71" s="3"/>
      <c r="C71" s="3"/>
      <c r="D71" s="3"/>
      <c r="E71" s="3"/>
      <c r="F71" s="3"/>
      <c r="G71" s="3"/>
      <c r="H71" s="3"/>
      <c r="I71" s="3"/>
      <c r="J71" s="3"/>
      <c r="K71" s="3"/>
      <c r="L71" s="3"/>
      <c r="M71" s="3"/>
    </row>
    <row r="72" ht="15.75" customHeight="1">
      <c r="A72" s="3"/>
      <c r="B72" s="3"/>
      <c r="C72" s="3"/>
      <c r="D72" s="3"/>
      <c r="E72" s="3"/>
      <c r="F72" s="3"/>
      <c r="G72" s="3"/>
      <c r="H72" s="3"/>
      <c r="I72" s="3"/>
      <c r="J72" s="3"/>
      <c r="K72" s="3"/>
      <c r="L72" s="3"/>
      <c r="M72" s="3"/>
    </row>
    <row r="73" ht="15.75" customHeight="1">
      <c r="A73" s="3"/>
      <c r="B73" s="3"/>
      <c r="C73" s="3"/>
      <c r="D73" s="3"/>
      <c r="E73" s="3"/>
      <c r="F73" s="3"/>
      <c r="G73" s="3"/>
      <c r="H73" s="3"/>
      <c r="I73" s="3"/>
      <c r="J73" s="3"/>
      <c r="K73" s="3"/>
      <c r="L73" s="3"/>
      <c r="M73" s="3"/>
    </row>
    <row r="74" ht="15.75" customHeight="1">
      <c r="A74" s="3"/>
      <c r="B74" s="3"/>
      <c r="C74" s="3"/>
      <c r="D74" s="3"/>
      <c r="E74" s="3"/>
      <c r="F74" s="3"/>
      <c r="G74" s="3"/>
      <c r="H74" s="3"/>
      <c r="I74" s="3"/>
      <c r="J74" s="3"/>
      <c r="K74" s="3"/>
      <c r="L74" s="3"/>
      <c r="M74" s="3"/>
    </row>
    <row r="75" ht="15.75" customHeight="1">
      <c r="A75" s="3"/>
      <c r="B75" s="3"/>
      <c r="C75" s="3"/>
      <c r="D75" s="3"/>
      <c r="E75" s="3"/>
      <c r="F75" s="3"/>
      <c r="G75" s="3"/>
      <c r="H75" s="3"/>
      <c r="I75" s="3"/>
      <c r="J75" s="3"/>
      <c r="K75" s="3"/>
      <c r="L75" s="3"/>
      <c r="M75" s="3"/>
    </row>
    <row r="76" ht="15.75" customHeight="1">
      <c r="A76" s="3"/>
      <c r="B76" s="3"/>
      <c r="C76" s="3"/>
      <c r="D76" s="3"/>
      <c r="E76" s="3"/>
      <c r="F76" s="3"/>
      <c r="G76" s="3"/>
      <c r="H76" s="3"/>
      <c r="I76" s="3"/>
      <c r="J76" s="3"/>
      <c r="K76" s="3"/>
      <c r="L76" s="3"/>
      <c r="M76" s="3"/>
    </row>
    <row r="77" ht="15.75" customHeight="1">
      <c r="A77" s="3"/>
      <c r="B77" s="3"/>
      <c r="C77" s="3"/>
      <c r="D77" s="3"/>
      <c r="E77" s="3"/>
      <c r="F77" s="3"/>
      <c r="G77" s="3"/>
      <c r="H77" s="3"/>
      <c r="I77" s="3"/>
      <c r="J77" s="3"/>
      <c r="K77" s="3"/>
      <c r="L77" s="3"/>
      <c r="M77" s="3"/>
    </row>
    <row r="78" ht="15.75" customHeight="1">
      <c r="A78" s="3"/>
      <c r="B78" s="3"/>
      <c r="C78" s="3"/>
      <c r="D78" s="3"/>
      <c r="E78" s="3"/>
      <c r="F78" s="3"/>
      <c r="G78" s="3"/>
      <c r="H78" s="3"/>
      <c r="I78" s="3"/>
      <c r="J78" s="3"/>
      <c r="K78" s="3"/>
      <c r="L78" s="3"/>
      <c r="M78" s="3"/>
    </row>
    <row r="79" ht="15.75" customHeight="1">
      <c r="A79" s="3"/>
      <c r="B79" s="3"/>
      <c r="C79" s="3"/>
      <c r="D79" s="3"/>
      <c r="E79" s="3"/>
      <c r="F79" s="3"/>
      <c r="G79" s="3"/>
      <c r="H79" s="3"/>
      <c r="I79" s="3"/>
      <c r="J79" s="3"/>
      <c r="K79" s="3"/>
      <c r="L79" s="3"/>
      <c r="M79" s="3"/>
    </row>
    <row r="80" ht="15.75" customHeight="1">
      <c r="A80" s="3"/>
      <c r="B80" s="3"/>
      <c r="C80" s="3"/>
      <c r="D80" s="3"/>
      <c r="E80" s="3"/>
      <c r="F80" s="3"/>
      <c r="G80" s="3"/>
      <c r="H80" s="3"/>
      <c r="I80" s="3"/>
      <c r="J80" s="3"/>
      <c r="K80" s="3"/>
      <c r="L80" s="3"/>
      <c r="M80" s="3"/>
    </row>
    <row r="81" ht="15.75" customHeight="1">
      <c r="A81" s="3"/>
      <c r="B81" s="3"/>
      <c r="C81" s="3"/>
      <c r="D81" s="3"/>
      <c r="E81" s="3"/>
      <c r="F81" s="3"/>
      <c r="G81" s="3"/>
      <c r="H81" s="3"/>
      <c r="I81" s="3"/>
      <c r="J81" s="3"/>
      <c r="K81" s="3"/>
      <c r="L81" s="3"/>
      <c r="M81" s="3"/>
    </row>
    <row r="82" ht="15.75" customHeight="1">
      <c r="A82" s="3"/>
      <c r="B82" s="3"/>
      <c r="C82" s="3"/>
      <c r="D82" s="3"/>
      <c r="E82" s="3"/>
      <c r="F82" s="3"/>
      <c r="G82" s="3"/>
      <c r="H82" s="3"/>
      <c r="I82" s="3"/>
      <c r="J82" s="3"/>
      <c r="K82" s="3"/>
      <c r="L82" s="3"/>
      <c r="M82" s="3"/>
    </row>
    <row r="83" ht="15.75" customHeight="1">
      <c r="A83" s="3"/>
      <c r="B83" s="3"/>
      <c r="C83" s="3"/>
      <c r="D83" s="3"/>
      <c r="E83" s="3"/>
      <c r="F83" s="3"/>
      <c r="G83" s="3"/>
      <c r="H83" s="3"/>
      <c r="I83" s="3"/>
      <c r="J83" s="3"/>
      <c r="K83" s="3"/>
      <c r="L83" s="3"/>
      <c r="M83" s="3"/>
    </row>
    <row r="84" ht="15.75" customHeight="1">
      <c r="A84" s="3"/>
      <c r="B84" s="3"/>
      <c r="C84" s="3"/>
      <c r="D84" s="3"/>
      <c r="E84" s="3"/>
      <c r="F84" s="3"/>
      <c r="G84" s="3"/>
      <c r="H84" s="3"/>
      <c r="I84" s="3"/>
      <c r="J84" s="3"/>
      <c r="K84" s="3"/>
      <c r="L84" s="3"/>
      <c r="M84" s="3"/>
    </row>
    <row r="85" ht="15.75" customHeight="1">
      <c r="A85" s="3"/>
      <c r="B85" s="3"/>
      <c r="C85" s="3"/>
      <c r="D85" s="3"/>
      <c r="E85" s="3"/>
      <c r="F85" s="3"/>
      <c r="G85" s="3"/>
      <c r="H85" s="3"/>
      <c r="I85" s="3"/>
      <c r="J85" s="3"/>
      <c r="K85" s="3"/>
      <c r="L85" s="3"/>
      <c r="M85" s="3"/>
    </row>
    <row r="86" ht="15.75" customHeight="1">
      <c r="A86" s="3"/>
      <c r="B86" s="3"/>
      <c r="C86" s="3"/>
      <c r="D86" s="3"/>
      <c r="E86" s="3"/>
      <c r="F86" s="3"/>
      <c r="G86" s="3"/>
      <c r="H86" s="3"/>
      <c r="I86" s="3"/>
      <c r="J86" s="3"/>
      <c r="K86" s="3"/>
      <c r="L86" s="3"/>
      <c r="M86" s="3"/>
    </row>
    <row r="87" ht="15.75" customHeight="1">
      <c r="A87" s="3"/>
      <c r="B87" s="3"/>
      <c r="C87" s="3"/>
      <c r="D87" s="3"/>
      <c r="E87" s="3"/>
      <c r="F87" s="3"/>
      <c r="G87" s="3"/>
      <c r="H87" s="3"/>
      <c r="I87" s="3"/>
      <c r="J87" s="3"/>
      <c r="K87" s="3"/>
      <c r="L87" s="3"/>
      <c r="M87" s="3"/>
    </row>
    <row r="88" ht="15.75" customHeight="1">
      <c r="A88" s="3"/>
      <c r="B88" s="3"/>
      <c r="C88" s="3"/>
      <c r="D88" s="3"/>
      <c r="E88" s="3"/>
      <c r="F88" s="3"/>
      <c r="G88" s="3"/>
      <c r="H88" s="3"/>
      <c r="I88" s="3"/>
      <c r="J88" s="3"/>
      <c r="K88" s="3"/>
      <c r="L88" s="3"/>
      <c r="M88" s="3"/>
    </row>
    <row r="89" ht="15.75" customHeight="1">
      <c r="A89" s="3"/>
      <c r="B89" s="3"/>
      <c r="C89" s="3"/>
      <c r="D89" s="3"/>
      <c r="E89" s="3"/>
      <c r="F89" s="3"/>
      <c r="G89" s="3"/>
      <c r="H89" s="3"/>
      <c r="I89" s="3"/>
      <c r="J89" s="3"/>
      <c r="K89" s="3"/>
      <c r="L89" s="3"/>
      <c r="M89" s="3"/>
    </row>
    <row r="90" ht="15.75" customHeight="1">
      <c r="A90" s="3"/>
      <c r="B90" s="3"/>
      <c r="C90" s="3"/>
      <c r="D90" s="3"/>
      <c r="E90" s="3"/>
      <c r="F90" s="3"/>
      <c r="G90" s="3"/>
      <c r="H90" s="3"/>
      <c r="I90" s="3"/>
      <c r="J90" s="3"/>
      <c r="K90" s="3"/>
      <c r="L90" s="3"/>
      <c r="M90" s="3"/>
    </row>
    <row r="91" ht="15.75" customHeight="1">
      <c r="A91" s="3"/>
      <c r="B91" s="3"/>
      <c r="C91" s="3"/>
      <c r="D91" s="3"/>
      <c r="E91" s="3"/>
      <c r="F91" s="3"/>
      <c r="G91" s="3"/>
      <c r="H91" s="3"/>
      <c r="I91" s="3"/>
      <c r="J91" s="3"/>
      <c r="K91" s="3"/>
      <c r="L91" s="3"/>
      <c r="M91" s="3"/>
    </row>
    <row r="92" ht="15.75" customHeight="1">
      <c r="A92" s="3"/>
      <c r="B92" s="3"/>
      <c r="C92" s="3"/>
      <c r="D92" s="3"/>
      <c r="E92" s="3"/>
      <c r="F92" s="3"/>
      <c r="G92" s="3"/>
      <c r="H92" s="3"/>
      <c r="I92" s="3"/>
      <c r="J92" s="3"/>
      <c r="K92" s="3"/>
      <c r="L92" s="3"/>
      <c r="M92" s="3"/>
    </row>
    <row r="93" ht="15.75" customHeight="1">
      <c r="A93" s="3"/>
      <c r="B93" s="3"/>
      <c r="C93" s="3"/>
      <c r="D93" s="3"/>
      <c r="E93" s="3"/>
      <c r="F93" s="3"/>
      <c r="G93" s="3"/>
      <c r="H93" s="3"/>
      <c r="I93" s="3"/>
      <c r="J93" s="3"/>
      <c r="K93" s="3"/>
      <c r="L93" s="3"/>
      <c r="M93" s="3"/>
    </row>
    <row r="94" ht="15.75" customHeight="1">
      <c r="A94" s="3"/>
      <c r="B94" s="3"/>
      <c r="C94" s="3"/>
      <c r="D94" s="3"/>
      <c r="E94" s="3"/>
      <c r="F94" s="3"/>
      <c r="G94" s="3"/>
      <c r="H94" s="3"/>
      <c r="I94" s="3"/>
      <c r="J94" s="3"/>
      <c r="K94" s="3"/>
      <c r="L94" s="3"/>
      <c r="M94" s="3"/>
    </row>
    <row r="95" ht="15.75" customHeight="1">
      <c r="A95" s="3"/>
      <c r="B95" s="3"/>
      <c r="C95" s="3"/>
      <c r="D95" s="3"/>
      <c r="E95" s="3"/>
      <c r="F95" s="3"/>
      <c r="G95" s="3"/>
      <c r="H95" s="3"/>
      <c r="I95" s="3"/>
      <c r="J95" s="3"/>
      <c r="K95" s="3"/>
      <c r="L95" s="3"/>
      <c r="M95" s="3"/>
    </row>
    <row r="96" ht="15.75" customHeight="1">
      <c r="A96" s="3"/>
      <c r="B96" s="3"/>
      <c r="C96" s="3"/>
      <c r="D96" s="3"/>
      <c r="E96" s="3"/>
      <c r="F96" s="3"/>
      <c r="G96" s="3"/>
      <c r="H96" s="3"/>
      <c r="I96" s="3"/>
      <c r="J96" s="3"/>
      <c r="K96" s="3"/>
      <c r="L96" s="3"/>
      <c r="M96" s="3"/>
    </row>
    <row r="97" ht="15.75" customHeight="1">
      <c r="A97" s="3"/>
      <c r="B97" s="3"/>
      <c r="C97" s="3"/>
      <c r="D97" s="3"/>
      <c r="E97" s="3"/>
      <c r="F97" s="3"/>
      <c r="G97" s="3"/>
      <c r="H97" s="3"/>
      <c r="I97" s="3"/>
      <c r="J97" s="3"/>
      <c r="K97" s="3"/>
      <c r="L97" s="3"/>
      <c r="M97" s="3"/>
    </row>
    <row r="98" ht="15.75" customHeight="1">
      <c r="A98" s="3"/>
      <c r="B98" s="3"/>
      <c r="C98" s="3"/>
      <c r="D98" s="3"/>
      <c r="E98" s="3"/>
      <c r="F98" s="3"/>
      <c r="G98" s="3"/>
      <c r="H98" s="3"/>
      <c r="I98" s="3"/>
      <c r="J98" s="3"/>
      <c r="K98" s="3"/>
      <c r="L98" s="3"/>
      <c r="M98" s="3"/>
    </row>
    <row r="99" ht="15.75" customHeight="1">
      <c r="A99" s="3"/>
      <c r="B99" s="3"/>
      <c r="C99" s="3"/>
      <c r="D99" s="3"/>
      <c r="E99" s="3"/>
      <c r="F99" s="3"/>
      <c r="G99" s="3"/>
      <c r="H99" s="3"/>
      <c r="I99" s="3"/>
      <c r="J99" s="3"/>
      <c r="K99" s="3"/>
      <c r="L99" s="3"/>
      <c r="M99" s="3"/>
    </row>
    <row r="100" ht="15.75" customHeight="1">
      <c r="A100" s="3"/>
      <c r="B100" s="3"/>
      <c r="C100" s="3"/>
      <c r="D100" s="3"/>
      <c r="E100" s="3"/>
      <c r="F100" s="3"/>
      <c r="G100" s="3"/>
      <c r="H100" s="3"/>
      <c r="I100" s="3"/>
      <c r="J100" s="3"/>
      <c r="K100" s="3"/>
      <c r="L100" s="3"/>
      <c r="M100" s="3"/>
    </row>
    <row r="101" ht="15.75" customHeight="1">
      <c r="A101" s="3"/>
      <c r="B101" s="3"/>
      <c r="C101" s="3"/>
      <c r="D101" s="3"/>
      <c r="E101" s="3"/>
      <c r="F101" s="3"/>
      <c r="G101" s="3"/>
      <c r="H101" s="3"/>
      <c r="I101" s="3"/>
      <c r="J101" s="3"/>
      <c r="K101" s="3"/>
      <c r="L101" s="3"/>
      <c r="M101" s="3"/>
    </row>
    <row r="102" ht="15.75" customHeight="1">
      <c r="A102" s="3"/>
      <c r="B102" s="3"/>
      <c r="C102" s="3"/>
      <c r="D102" s="3"/>
      <c r="E102" s="3"/>
      <c r="F102" s="3"/>
      <c r="G102" s="3"/>
      <c r="H102" s="3"/>
      <c r="I102" s="3"/>
      <c r="J102" s="3"/>
      <c r="K102" s="3"/>
      <c r="L102" s="3"/>
      <c r="M102" s="3"/>
    </row>
    <row r="103" ht="15.75" customHeight="1">
      <c r="A103" s="3"/>
      <c r="B103" s="3"/>
      <c r="C103" s="3"/>
      <c r="D103" s="3"/>
      <c r="E103" s="3"/>
      <c r="F103" s="3"/>
      <c r="G103" s="3"/>
      <c r="H103" s="3"/>
      <c r="I103" s="3"/>
      <c r="J103" s="3"/>
      <c r="K103" s="3"/>
      <c r="L103" s="3"/>
      <c r="M103" s="3"/>
    </row>
    <row r="104" ht="15.75" customHeight="1">
      <c r="A104" s="3"/>
      <c r="B104" s="3"/>
      <c r="C104" s="3"/>
      <c r="D104" s="3"/>
      <c r="E104" s="3"/>
      <c r="F104" s="3"/>
      <c r="G104" s="3"/>
      <c r="H104" s="3"/>
      <c r="I104" s="3"/>
      <c r="J104" s="3"/>
      <c r="K104" s="3"/>
      <c r="L104" s="3"/>
      <c r="M104" s="3"/>
    </row>
    <row r="105" ht="15.75" customHeight="1">
      <c r="A105" s="3"/>
      <c r="B105" s="3"/>
      <c r="C105" s="3"/>
      <c r="D105" s="3"/>
      <c r="E105" s="3"/>
      <c r="F105" s="3"/>
      <c r="G105" s="3"/>
      <c r="H105" s="3"/>
      <c r="I105" s="3"/>
      <c r="J105" s="3"/>
      <c r="K105" s="3"/>
      <c r="L105" s="3"/>
      <c r="M105" s="3"/>
    </row>
    <row r="106" ht="15.75" customHeight="1">
      <c r="A106" s="3"/>
      <c r="B106" s="3"/>
      <c r="C106" s="3"/>
      <c r="D106" s="3"/>
      <c r="E106" s="3"/>
      <c r="F106" s="3"/>
      <c r="G106" s="3"/>
      <c r="H106" s="3"/>
      <c r="I106" s="3"/>
      <c r="J106" s="3"/>
      <c r="K106" s="3"/>
      <c r="L106" s="3"/>
      <c r="M106" s="3"/>
    </row>
    <row r="107" ht="15.75" customHeight="1">
      <c r="A107" s="3"/>
      <c r="B107" s="3"/>
      <c r="C107" s="3"/>
      <c r="D107" s="3"/>
      <c r="E107" s="3"/>
      <c r="F107" s="3"/>
      <c r="G107" s="3"/>
      <c r="H107" s="3"/>
      <c r="I107" s="3"/>
      <c r="J107" s="3"/>
      <c r="K107" s="3"/>
      <c r="L107" s="3"/>
      <c r="M107" s="3"/>
    </row>
    <row r="108" ht="15.75" customHeight="1">
      <c r="A108" s="3"/>
      <c r="B108" s="3"/>
      <c r="C108" s="3"/>
      <c r="D108" s="3"/>
      <c r="E108" s="3"/>
      <c r="F108" s="3"/>
      <c r="G108" s="3"/>
      <c r="H108" s="3"/>
      <c r="I108" s="3"/>
      <c r="J108" s="3"/>
      <c r="K108" s="3"/>
      <c r="L108" s="3"/>
      <c r="M108" s="3"/>
    </row>
    <row r="109" ht="15.75" customHeight="1">
      <c r="A109" s="3"/>
      <c r="B109" s="3"/>
      <c r="C109" s="3"/>
      <c r="D109" s="3"/>
      <c r="E109" s="3"/>
      <c r="F109" s="3"/>
      <c r="G109" s="3"/>
      <c r="H109" s="3"/>
      <c r="I109" s="3"/>
      <c r="J109" s="3"/>
      <c r="K109" s="3"/>
      <c r="L109" s="3"/>
      <c r="M109" s="3"/>
    </row>
    <row r="110" ht="15.75" customHeight="1">
      <c r="A110" s="3"/>
      <c r="B110" s="3"/>
      <c r="C110" s="3"/>
      <c r="D110" s="3"/>
      <c r="E110" s="3"/>
      <c r="F110" s="3"/>
      <c r="G110" s="3"/>
      <c r="H110" s="3"/>
      <c r="I110" s="3"/>
      <c r="J110" s="3"/>
      <c r="K110" s="3"/>
      <c r="L110" s="3"/>
      <c r="M110" s="3"/>
    </row>
    <row r="111" ht="15.75" customHeight="1">
      <c r="A111" s="3"/>
      <c r="B111" s="3"/>
      <c r="C111" s="3"/>
      <c r="D111" s="3"/>
      <c r="E111" s="3"/>
      <c r="F111" s="3"/>
      <c r="G111" s="3"/>
      <c r="H111" s="3"/>
      <c r="I111" s="3"/>
      <c r="J111" s="3"/>
      <c r="K111" s="3"/>
      <c r="L111" s="3"/>
      <c r="M111" s="3"/>
    </row>
    <row r="112" ht="15.75" customHeight="1">
      <c r="A112" s="3"/>
      <c r="B112" s="3"/>
      <c r="C112" s="3"/>
      <c r="D112" s="3"/>
      <c r="E112" s="3"/>
      <c r="F112" s="3"/>
      <c r="G112" s="3"/>
      <c r="H112" s="3"/>
      <c r="I112" s="3"/>
      <c r="J112" s="3"/>
      <c r="K112" s="3"/>
      <c r="L112" s="3"/>
      <c r="M112" s="3"/>
    </row>
    <row r="113" ht="15.75" customHeight="1">
      <c r="A113" s="3"/>
      <c r="B113" s="3"/>
      <c r="C113" s="3"/>
      <c r="D113" s="3"/>
      <c r="E113" s="3"/>
      <c r="F113" s="3"/>
      <c r="G113" s="3"/>
      <c r="H113" s="3"/>
      <c r="I113" s="3"/>
      <c r="J113" s="3"/>
      <c r="K113" s="3"/>
      <c r="L113" s="3"/>
      <c r="M113" s="3"/>
    </row>
    <row r="114" ht="15.75" customHeight="1">
      <c r="A114" s="3"/>
      <c r="B114" s="3"/>
      <c r="C114" s="3"/>
      <c r="D114" s="3"/>
      <c r="E114" s="3"/>
      <c r="F114" s="3"/>
      <c r="G114" s="3"/>
      <c r="H114" s="3"/>
      <c r="I114" s="3"/>
      <c r="J114" s="3"/>
      <c r="K114" s="3"/>
      <c r="L114" s="3"/>
      <c r="M114" s="3"/>
    </row>
    <row r="115" ht="15.75" customHeight="1">
      <c r="A115" s="3"/>
      <c r="B115" s="3"/>
      <c r="C115" s="3"/>
      <c r="D115" s="3"/>
      <c r="E115" s="3"/>
      <c r="F115" s="3"/>
      <c r="G115" s="3"/>
      <c r="H115" s="3"/>
      <c r="I115" s="3"/>
      <c r="J115" s="3"/>
      <c r="K115" s="3"/>
      <c r="L115" s="3"/>
      <c r="M115" s="3"/>
    </row>
    <row r="116" ht="15.75" customHeight="1">
      <c r="A116" s="3"/>
      <c r="B116" s="3"/>
      <c r="C116" s="3"/>
      <c r="D116" s="3"/>
      <c r="E116" s="3"/>
      <c r="F116" s="3"/>
      <c r="G116" s="3"/>
      <c r="H116" s="3"/>
      <c r="I116" s="3"/>
      <c r="J116" s="3"/>
      <c r="K116" s="3"/>
      <c r="L116" s="3"/>
      <c r="M116" s="3"/>
    </row>
    <row r="117" ht="15.75" customHeight="1">
      <c r="A117" s="3"/>
      <c r="B117" s="3"/>
      <c r="C117" s="3"/>
      <c r="D117" s="3"/>
      <c r="E117" s="3"/>
      <c r="F117" s="3"/>
      <c r="G117" s="3"/>
      <c r="H117" s="3"/>
      <c r="I117" s="3"/>
      <c r="J117" s="3"/>
      <c r="K117" s="3"/>
      <c r="L117" s="3"/>
      <c r="M117" s="3"/>
    </row>
    <row r="118" ht="15.75" customHeight="1">
      <c r="A118" s="3"/>
      <c r="B118" s="3"/>
      <c r="C118" s="3"/>
      <c r="D118" s="3"/>
      <c r="E118" s="3"/>
      <c r="F118" s="3"/>
      <c r="G118" s="3"/>
      <c r="H118" s="3"/>
      <c r="I118" s="3"/>
      <c r="J118" s="3"/>
      <c r="K118" s="3"/>
      <c r="L118" s="3"/>
      <c r="M118" s="3"/>
    </row>
    <row r="119" ht="15.75" customHeight="1">
      <c r="A119" s="3"/>
      <c r="B119" s="3"/>
      <c r="C119" s="3"/>
      <c r="D119" s="3"/>
      <c r="E119" s="3"/>
      <c r="F119" s="3"/>
      <c r="G119" s="3"/>
      <c r="H119" s="3"/>
      <c r="I119" s="3"/>
      <c r="J119" s="3"/>
      <c r="K119" s="3"/>
      <c r="L119" s="3"/>
      <c r="M119" s="3"/>
    </row>
    <row r="120" ht="15.75" customHeight="1">
      <c r="A120" s="3"/>
      <c r="B120" s="3"/>
      <c r="C120" s="3"/>
      <c r="D120" s="3"/>
      <c r="E120" s="3"/>
      <c r="F120" s="3"/>
      <c r="G120" s="3"/>
      <c r="H120" s="3"/>
      <c r="I120" s="3"/>
      <c r="J120" s="3"/>
      <c r="K120" s="3"/>
      <c r="L120" s="3"/>
      <c r="M120" s="3"/>
    </row>
    <row r="121" ht="15.75" customHeight="1">
      <c r="A121" s="3"/>
      <c r="B121" s="3"/>
      <c r="C121" s="3"/>
      <c r="D121" s="3"/>
      <c r="E121" s="3"/>
      <c r="F121" s="3"/>
      <c r="G121" s="3"/>
      <c r="H121" s="3"/>
      <c r="I121" s="3"/>
      <c r="J121" s="3"/>
      <c r="K121" s="3"/>
      <c r="L121" s="3"/>
      <c r="M121" s="3"/>
    </row>
    <row r="122" ht="15.75" customHeight="1">
      <c r="A122" s="3"/>
      <c r="B122" s="3"/>
      <c r="C122" s="3"/>
      <c r="D122" s="3"/>
      <c r="E122" s="3"/>
      <c r="F122" s="3"/>
      <c r="G122" s="3"/>
      <c r="H122" s="3"/>
      <c r="I122" s="3"/>
      <c r="J122" s="3"/>
      <c r="K122" s="3"/>
      <c r="L122" s="3"/>
      <c r="M122" s="3"/>
    </row>
    <row r="123" ht="15.75" customHeight="1">
      <c r="A123" s="3"/>
      <c r="B123" s="3"/>
      <c r="C123" s="3"/>
      <c r="D123" s="3"/>
      <c r="E123" s="3"/>
      <c r="F123" s="3"/>
      <c r="G123" s="3"/>
      <c r="H123" s="3"/>
      <c r="I123" s="3"/>
      <c r="J123" s="3"/>
      <c r="K123" s="3"/>
      <c r="L123" s="3"/>
      <c r="M123" s="3"/>
    </row>
    <row r="124" ht="15.75" customHeight="1">
      <c r="A124" s="3"/>
      <c r="B124" s="3"/>
      <c r="C124" s="3"/>
      <c r="D124" s="3"/>
      <c r="E124" s="3"/>
      <c r="F124" s="3"/>
      <c r="G124" s="3"/>
      <c r="H124" s="3"/>
      <c r="I124" s="3"/>
      <c r="J124" s="3"/>
      <c r="K124" s="3"/>
      <c r="L124" s="3"/>
      <c r="M124" s="3"/>
    </row>
    <row r="125" ht="15.75" customHeight="1">
      <c r="A125" s="3"/>
      <c r="B125" s="3"/>
      <c r="C125" s="3"/>
      <c r="D125" s="3"/>
      <c r="E125" s="3"/>
      <c r="F125" s="3"/>
      <c r="G125" s="3"/>
      <c r="H125" s="3"/>
      <c r="I125" s="3"/>
      <c r="J125" s="3"/>
      <c r="K125" s="3"/>
      <c r="L125" s="3"/>
      <c r="M125" s="3"/>
    </row>
    <row r="126" ht="15.75" customHeight="1">
      <c r="A126" s="3"/>
      <c r="B126" s="3"/>
      <c r="C126" s="3"/>
      <c r="D126" s="3"/>
      <c r="E126" s="3"/>
      <c r="F126" s="3"/>
      <c r="G126" s="3"/>
      <c r="H126" s="3"/>
      <c r="I126" s="3"/>
      <c r="J126" s="3"/>
      <c r="K126" s="3"/>
      <c r="L126" s="3"/>
      <c r="M126" s="3"/>
    </row>
    <row r="127" ht="15.75" customHeight="1">
      <c r="A127" s="3"/>
      <c r="B127" s="3"/>
      <c r="C127" s="3"/>
      <c r="D127" s="3"/>
      <c r="E127" s="3"/>
      <c r="F127" s="3"/>
      <c r="G127" s="3"/>
      <c r="H127" s="3"/>
      <c r="I127" s="3"/>
      <c r="J127" s="3"/>
      <c r="K127" s="3"/>
      <c r="L127" s="3"/>
      <c r="M127" s="3"/>
    </row>
    <row r="128" ht="15.75" customHeight="1">
      <c r="A128" s="3"/>
      <c r="B128" s="3"/>
      <c r="C128" s="3"/>
      <c r="D128" s="3"/>
      <c r="E128" s="3"/>
      <c r="F128" s="3"/>
      <c r="G128" s="3"/>
      <c r="H128" s="3"/>
      <c r="I128" s="3"/>
      <c r="J128" s="3"/>
      <c r="K128" s="3"/>
      <c r="L128" s="3"/>
      <c r="M128" s="3"/>
    </row>
    <row r="129" ht="15.75" customHeight="1">
      <c r="A129" s="3"/>
      <c r="B129" s="3"/>
      <c r="C129" s="3"/>
      <c r="D129" s="3"/>
      <c r="E129" s="3"/>
      <c r="F129" s="3"/>
      <c r="G129" s="3"/>
      <c r="H129" s="3"/>
      <c r="I129" s="3"/>
      <c r="J129" s="3"/>
      <c r="K129" s="3"/>
      <c r="L129" s="3"/>
      <c r="M129" s="3"/>
    </row>
    <row r="130" ht="15.75" customHeight="1">
      <c r="A130" s="3"/>
      <c r="B130" s="3"/>
      <c r="C130" s="3"/>
      <c r="D130" s="3"/>
      <c r="E130" s="3"/>
      <c r="F130" s="3"/>
      <c r="G130" s="3"/>
      <c r="H130" s="3"/>
      <c r="I130" s="3"/>
      <c r="J130" s="3"/>
      <c r="K130" s="3"/>
      <c r="L130" s="3"/>
      <c r="M130" s="3"/>
    </row>
    <row r="131" ht="15.75" customHeight="1">
      <c r="A131" s="3"/>
      <c r="B131" s="3"/>
      <c r="C131" s="3"/>
      <c r="D131" s="3"/>
      <c r="E131" s="3"/>
      <c r="F131" s="3"/>
      <c r="G131" s="3"/>
      <c r="H131" s="3"/>
      <c r="I131" s="3"/>
      <c r="J131" s="3"/>
      <c r="K131" s="3"/>
      <c r="L131" s="3"/>
      <c r="M131" s="3"/>
    </row>
    <row r="132" ht="15.75" customHeight="1">
      <c r="A132" s="3"/>
      <c r="B132" s="3"/>
      <c r="C132" s="3"/>
      <c r="D132" s="3"/>
      <c r="E132" s="3"/>
      <c r="F132" s="3"/>
      <c r="G132" s="3"/>
      <c r="H132" s="3"/>
      <c r="I132" s="3"/>
      <c r="J132" s="3"/>
      <c r="K132" s="3"/>
      <c r="L132" s="3"/>
      <c r="M132" s="3"/>
    </row>
    <row r="133" ht="15.75" customHeight="1">
      <c r="A133" s="3"/>
      <c r="B133" s="3"/>
      <c r="C133" s="3"/>
      <c r="D133" s="3"/>
      <c r="E133" s="3"/>
      <c r="F133" s="3"/>
      <c r="G133" s="3"/>
      <c r="H133" s="3"/>
      <c r="I133" s="3"/>
      <c r="J133" s="3"/>
      <c r="K133" s="3"/>
      <c r="L133" s="3"/>
      <c r="M133" s="3"/>
    </row>
    <row r="134" ht="15.75" customHeight="1">
      <c r="A134" s="3"/>
      <c r="B134" s="3"/>
      <c r="C134" s="3"/>
      <c r="D134" s="3"/>
      <c r="E134" s="3"/>
      <c r="F134" s="3"/>
      <c r="G134" s="3"/>
      <c r="H134" s="3"/>
      <c r="I134" s="3"/>
      <c r="J134" s="3"/>
      <c r="K134" s="3"/>
      <c r="L134" s="3"/>
      <c r="M134" s="3"/>
    </row>
    <row r="135" ht="15.75" customHeight="1">
      <c r="A135" s="3"/>
      <c r="B135" s="3"/>
      <c r="C135" s="3"/>
      <c r="D135" s="3"/>
      <c r="E135" s="3"/>
      <c r="F135" s="3"/>
      <c r="G135" s="3"/>
      <c r="H135" s="3"/>
      <c r="I135" s="3"/>
      <c r="J135" s="3"/>
      <c r="K135" s="3"/>
      <c r="L135" s="3"/>
      <c r="M135" s="3"/>
    </row>
    <row r="136" ht="15.75" customHeight="1">
      <c r="A136" s="3"/>
      <c r="B136" s="3"/>
      <c r="C136" s="3"/>
      <c r="D136" s="3"/>
      <c r="E136" s="3"/>
      <c r="F136" s="3"/>
      <c r="G136" s="3"/>
      <c r="H136" s="3"/>
      <c r="I136" s="3"/>
      <c r="J136" s="3"/>
      <c r="K136" s="3"/>
      <c r="L136" s="3"/>
      <c r="M136" s="3"/>
    </row>
    <row r="137" ht="15.75" customHeight="1">
      <c r="A137" s="3"/>
      <c r="B137" s="3"/>
      <c r="C137" s="3"/>
      <c r="D137" s="3"/>
      <c r="E137" s="3"/>
      <c r="F137" s="3"/>
      <c r="G137" s="3"/>
      <c r="H137" s="3"/>
      <c r="I137" s="3"/>
      <c r="J137" s="3"/>
      <c r="K137" s="3"/>
      <c r="L137" s="3"/>
      <c r="M137" s="3"/>
    </row>
    <row r="138" ht="15.75" customHeight="1">
      <c r="A138" s="3"/>
      <c r="B138" s="3"/>
      <c r="C138" s="3"/>
      <c r="D138" s="3"/>
      <c r="E138" s="3"/>
      <c r="F138" s="3"/>
      <c r="G138" s="3"/>
      <c r="H138" s="3"/>
      <c r="I138" s="3"/>
      <c r="J138" s="3"/>
      <c r="K138" s="3"/>
      <c r="L138" s="3"/>
      <c r="M138" s="3"/>
    </row>
    <row r="139" ht="15.75" customHeight="1">
      <c r="A139" s="3"/>
      <c r="B139" s="3"/>
      <c r="C139" s="3"/>
      <c r="D139" s="3"/>
      <c r="E139" s="3"/>
      <c r="F139" s="3"/>
      <c r="G139" s="3"/>
      <c r="H139" s="3"/>
      <c r="I139" s="3"/>
      <c r="J139" s="3"/>
      <c r="K139" s="3"/>
      <c r="L139" s="3"/>
      <c r="M139" s="3"/>
    </row>
    <row r="140" ht="15.75" customHeight="1">
      <c r="A140" s="3"/>
      <c r="B140" s="3"/>
      <c r="C140" s="3"/>
      <c r="D140" s="3"/>
      <c r="E140" s="3"/>
      <c r="F140" s="3"/>
      <c r="G140" s="3"/>
      <c r="H140" s="3"/>
      <c r="I140" s="3"/>
      <c r="J140" s="3"/>
      <c r="K140" s="3"/>
      <c r="L140" s="3"/>
      <c r="M140" s="3"/>
    </row>
    <row r="141" ht="15.75" customHeight="1">
      <c r="A141" s="3"/>
      <c r="B141" s="3"/>
      <c r="C141" s="3"/>
      <c r="D141" s="3"/>
      <c r="E141" s="3"/>
      <c r="F141" s="3"/>
      <c r="G141" s="3"/>
      <c r="H141" s="3"/>
      <c r="I141" s="3"/>
      <c r="J141" s="3"/>
      <c r="K141" s="3"/>
      <c r="L141" s="3"/>
      <c r="M141" s="3"/>
    </row>
    <row r="142" ht="15.75" customHeight="1">
      <c r="A142" s="3"/>
      <c r="B142" s="3"/>
      <c r="C142" s="3"/>
      <c r="D142" s="3"/>
      <c r="E142" s="3"/>
      <c r="F142" s="3"/>
      <c r="G142" s="3"/>
      <c r="H142" s="3"/>
      <c r="I142" s="3"/>
      <c r="J142" s="3"/>
      <c r="K142" s="3"/>
      <c r="L142" s="3"/>
      <c r="M142" s="3"/>
    </row>
    <row r="143" ht="15.75" customHeight="1">
      <c r="A143" s="3"/>
      <c r="B143" s="3"/>
      <c r="C143" s="3"/>
      <c r="D143" s="3"/>
      <c r="E143" s="3"/>
      <c r="F143" s="3"/>
      <c r="G143" s="3"/>
      <c r="H143" s="3"/>
      <c r="I143" s="3"/>
      <c r="J143" s="3"/>
      <c r="K143" s="3"/>
      <c r="L143" s="3"/>
      <c r="M143" s="3"/>
    </row>
    <row r="144" ht="15.75" customHeight="1">
      <c r="A144" s="3"/>
      <c r="B144" s="3"/>
      <c r="C144" s="3"/>
      <c r="D144" s="3"/>
      <c r="E144" s="3"/>
      <c r="F144" s="3"/>
      <c r="G144" s="3"/>
      <c r="H144" s="3"/>
      <c r="I144" s="3"/>
      <c r="J144" s="3"/>
      <c r="K144" s="3"/>
      <c r="L144" s="3"/>
      <c r="M144" s="3"/>
    </row>
    <row r="145" ht="15.75" customHeight="1">
      <c r="A145" s="3"/>
      <c r="B145" s="3"/>
      <c r="C145" s="3"/>
      <c r="D145" s="3"/>
      <c r="E145" s="3"/>
      <c r="F145" s="3"/>
      <c r="G145" s="3"/>
      <c r="H145" s="3"/>
      <c r="I145" s="3"/>
      <c r="J145" s="3"/>
      <c r="K145" s="3"/>
      <c r="L145" s="3"/>
      <c r="M145" s="3"/>
    </row>
    <row r="146" ht="15.75" customHeight="1">
      <c r="A146" s="3"/>
      <c r="B146" s="3"/>
      <c r="C146" s="3"/>
      <c r="D146" s="3"/>
      <c r="E146" s="3"/>
      <c r="F146" s="3"/>
      <c r="G146" s="3"/>
      <c r="H146" s="3"/>
      <c r="I146" s="3"/>
      <c r="J146" s="3"/>
      <c r="K146" s="3"/>
      <c r="L146" s="3"/>
      <c r="M146" s="3"/>
    </row>
    <row r="147" ht="15.75" customHeight="1">
      <c r="A147" s="3"/>
      <c r="B147" s="3"/>
      <c r="C147" s="3"/>
      <c r="D147" s="3"/>
      <c r="E147" s="3"/>
      <c r="F147" s="3"/>
      <c r="G147" s="3"/>
      <c r="H147" s="3"/>
      <c r="I147" s="3"/>
      <c r="J147" s="3"/>
      <c r="K147" s="3"/>
      <c r="L147" s="3"/>
      <c r="M147" s="3"/>
    </row>
    <row r="148" ht="15.75" customHeight="1">
      <c r="A148" s="3"/>
      <c r="B148" s="3"/>
      <c r="C148" s="3"/>
      <c r="D148" s="3"/>
      <c r="E148" s="3"/>
      <c r="F148" s="3"/>
      <c r="G148" s="3"/>
      <c r="H148" s="3"/>
      <c r="I148" s="3"/>
      <c r="J148" s="3"/>
      <c r="K148" s="3"/>
      <c r="L148" s="3"/>
      <c r="M148" s="3"/>
    </row>
    <row r="149" ht="15.75" customHeight="1">
      <c r="A149" s="3"/>
      <c r="B149" s="3"/>
      <c r="C149" s="3"/>
      <c r="D149" s="3"/>
      <c r="E149" s="3"/>
      <c r="F149" s="3"/>
      <c r="G149" s="3"/>
      <c r="H149" s="3"/>
      <c r="I149" s="3"/>
      <c r="J149" s="3"/>
      <c r="K149" s="3"/>
      <c r="L149" s="3"/>
      <c r="M149" s="3"/>
    </row>
    <row r="150" ht="15.75" customHeight="1">
      <c r="A150" s="3"/>
      <c r="B150" s="3"/>
      <c r="C150" s="3"/>
      <c r="D150" s="3"/>
      <c r="E150" s="3"/>
      <c r="F150" s="3"/>
      <c r="G150" s="3"/>
      <c r="H150" s="3"/>
      <c r="I150" s="3"/>
      <c r="J150" s="3"/>
      <c r="K150" s="3"/>
      <c r="L150" s="3"/>
      <c r="M150" s="3"/>
    </row>
    <row r="151" ht="15.75" customHeight="1">
      <c r="A151" s="3"/>
      <c r="B151" s="3"/>
      <c r="C151" s="3"/>
      <c r="D151" s="3"/>
      <c r="E151" s="3"/>
      <c r="F151" s="3"/>
      <c r="G151" s="3"/>
      <c r="H151" s="3"/>
      <c r="I151" s="3"/>
      <c r="J151" s="3"/>
      <c r="K151" s="3"/>
      <c r="L151" s="3"/>
      <c r="M151" s="3"/>
    </row>
    <row r="152" ht="15.75" customHeight="1">
      <c r="A152" s="3"/>
      <c r="B152" s="3"/>
      <c r="C152" s="3"/>
      <c r="D152" s="3"/>
      <c r="E152" s="3"/>
      <c r="F152" s="3"/>
      <c r="G152" s="3"/>
      <c r="H152" s="3"/>
      <c r="I152" s="3"/>
      <c r="J152" s="3"/>
      <c r="K152" s="3"/>
      <c r="L152" s="3"/>
      <c r="M152" s="3"/>
    </row>
    <row r="153" ht="15.75" customHeight="1">
      <c r="A153" s="3"/>
      <c r="B153" s="3"/>
      <c r="C153" s="3"/>
      <c r="D153" s="3"/>
      <c r="E153" s="3"/>
      <c r="F153" s="3"/>
      <c r="G153" s="3"/>
      <c r="H153" s="3"/>
      <c r="I153" s="3"/>
      <c r="J153" s="3"/>
      <c r="K153" s="3"/>
      <c r="L153" s="3"/>
      <c r="M153" s="3"/>
    </row>
    <row r="154" ht="15.75" customHeight="1">
      <c r="A154" s="3"/>
      <c r="B154" s="3"/>
      <c r="C154" s="3"/>
      <c r="D154" s="3"/>
      <c r="E154" s="3"/>
      <c r="F154" s="3"/>
      <c r="G154" s="3"/>
      <c r="H154" s="3"/>
      <c r="I154" s="3"/>
      <c r="J154" s="3"/>
      <c r="K154" s="3"/>
      <c r="L154" s="3"/>
      <c r="M154" s="3"/>
    </row>
    <row r="155" ht="15.75" customHeight="1">
      <c r="A155" s="3"/>
      <c r="B155" s="3"/>
      <c r="C155" s="3"/>
      <c r="D155" s="3"/>
      <c r="E155" s="3"/>
      <c r="F155" s="3"/>
      <c r="G155" s="3"/>
      <c r="H155" s="3"/>
      <c r="I155" s="3"/>
      <c r="J155" s="3"/>
      <c r="K155" s="3"/>
      <c r="L155" s="3"/>
      <c r="M155" s="3"/>
    </row>
    <row r="156" ht="15.75" customHeight="1">
      <c r="A156" s="3"/>
      <c r="B156" s="3"/>
      <c r="C156" s="3"/>
      <c r="D156" s="3"/>
      <c r="E156" s="3"/>
      <c r="F156" s="3"/>
      <c r="G156" s="3"/>
      <c r="H156" s="3"/>
      <c r="I156" s="3"/>
      <c r="J156" s="3"/>
      <c r="K156" s="3"/>
      <c r="L156" s="3"/>
      <c r="M156" s="3"/>
    </row>
    <row r="157" ht="15.75" customHeight="1">
      <c r="A157" s="3"/>
      <c r="B157" s="3"/>
      <c r="C157" s="3"/>
      <c r="D157" s="3"/>
      <c r="E157" s="3"/>
      <c r="F157" s="3"/>
      <c r="G157" s="3"/>
      <c r="H157" s="3"/>
      <c r="I157" s="3"/>
      <c r="J157" s="3"/>
      <c r="K157" s="3"/>
      <c r="L157" s="3"/>
      <c r="M157" s="3"/>
    </row>
    <row r="158" ht="15.75" customHeight="1">
      <c r="A158" s="3"/>
      <c r="B158" s="3"/>
      <c r="C158" s="3"/>
      <c r="D158" s="3"/>
      <c r="E158" s="3"/>
      <c r="F158" s="3"/>
      <c r="G158" s="3"/>
      <c r="H158" s="3"/>
      <c r="I158" s="3"/>
      <c r="J158" s="3"/>
      <c r="K158" s="3"/>
      <c r="L158" s="3"/>
      <c r="M158" s="3"/>
    </row>
    <row r="159" ht="15.75" customHeight="1">
      <c r="A159" s="3"/>
      <c r="B159" s="3"/>
      <c r="C159" s="3"/>
      <c r="D159" s="3"/>
      <c r="E159" s="3"/>
      <c r="F159" s="3"/>
      <c r="G159" s="3"/>
      <c r="H159" s="3"/>
      <c r="I159" s="3"/>
      <c r="J159" s="3"/>
      <c r="K159" s="3"/>
      <c r="L159" s="3"/>
      <c r="M159" s="3"/>
    </row>
    <row r="160" ht="15.75" customHeight="1">
      <c r="A160" s="3"/>
      <c r="B160" s="3"/>
      <c r="C160" s="3"/>
      <c r="D160" s="3"/>
      <c r="E160" s="3"/>
      <c r="F160" s="3"/>
      <c r="G160" s="3"/>
      <c r="H160" s="3"/>
      <c r="I160" s="3"/>
      <c r="J160" s="3"/>
      <c r="K160" s="3"/>
      <c r="L160" s="3"/>
      <c r="M160" s="3"/>
    </row>
    <row r="161" ht="15.75" customHeight="1">
      <c r="A161" s="3"/>
      <c r="B161" s="3"/>
      <c r="C161" s="3"/>
      <c r="D161" s="3"/>
      <c r="E161" s="3"/>
      <c r="F161" s="3"/>
      <c r="G161" s="3"/>
      <c r="H161" s="3"/>
      <c r="I161" s="3"/>
      <c r="J161" s="3"/>
      <c r="K161" s="3"/>
      <c r="L161" s="3"/>
      <c r="M161" s="3"/>
    </row>
    <row r="162" ht="15.75" customHeight="1">
      <c r="A162" s="3"/>
      <c r="B162" s="3"/>
      <c r="C162" s="3"/>
      <c r="D162" s="3"/>
      <c r="E162" s="3"/>
      <c r="F162" s="3"/>
      <c r="G162" s="3"/>
      <c r="H162" s="3"/>
      <c r="I162" s="3"/>
      <c r="J162" s="3"/>
      <c r="K162" s="3"/>
      <c r="L162" s="3"/>
      <c r="M162" s="3"/>
    </row>
    <row r="163" ht="15.75" customHeight="1">
      <c r="A163" s="3"/>
      <c r="B163" s="3"/>
      <c r="C163" s="3"/>
      <c r="D163" s="3"/>
      <c r="E163" s="3"/>
      <c r="F163" s="3"/>
      <c r="G163" s="3"/>
      <c r="H163" s="3"/>
      <c r="I163" s="3"/>
      <c r="J163" s="3"/>
      <c r="K163" s="3"/>
      <c r="L163" s="3"/>
      <c r="M163" s="3"/>
    </row>
    <row r="164" ht="15.75" customHeight="1">
      <c r="A164" s="3"/>
      <c r="B164" s="3"/>
      <c r="C164" s="3"/>
      <c r="D164" s="3"/>
      <c r="E164" s="3"/>
      <c r="F164" s="3"/>
      <c r="G164" s="3"/>
      <c r="H164" s="3"/>
      <c r="I164" s="3"/>
      <c r="J164" s="3"/>
      <c r="K164" s="3"/>
      <c r="L164" s="3"/>
      <c r="M164" s="3"/>
    </row>
    <row r="165" ht="15.75" customHeight="1">
      <c r="A165" s="3"/>
      <c r="B165" s="3"/>
      <c r="C165" s="3"/>
      <c r="D165" s="3"/>
      <c r="E165" s="3"/>
      <c r="F165" s="3"/>
      <c r="G165" s="3"/>
      <c r="H165" s="3"/>
      <c r="I165" s="3"/>
      <c r="J165" s="3"/>
      <c r="K165" s="3"/>
      <c r="L165" s="3"/>
      <c r="M165" s="3"/>
    </row>
    <row r="166" ht="15.75" customHeight="1">
      <c r="A166" s="3"/>
      <c r="B166" s="3"/>
      <c r="C166" s="3"/>
      <c r="D166" s="3"/>
      <c r="E166" s="3"/>
      <c r="F166" s="3"/>
      <c r="G166" s="3"/>
      <c r="H166" s="3"/>
      <c r="I166" s="3"/>
      <c r="J166" s="3"/>
      <c r="K166" s="3"/>
      <c r="L166" s="3"/>
      <c r="M166" s="3"/>
    </row>
    <row r="167" ht="15.75" customHeight="1">
      <c r="A167" s="3"/>
      <c r="B167" s="3"/>
      <c r="C167" s="3"/>
      <c r="D167" s="3"/>
      <c r="E167" s="3"/>
      <c r="F167" s="3"/>
      <c r="G167" s="3"/>
      <c r="H167" s="3"/>
      <c r="I167" s="3"/>
      <c r="J167" s="3"/>
      <c r="K167" s="3"/>
      <c r="L167" s="3"/>
      <c r="M167" s="3"/>
    </row>
    <row r="168" ht="15.75" customHeight="1">
      <c r="A168" s="3"/>
      <c r="B168" s="3"/>
      <c r="C168" s="3"/>
      <c r="D168" s="3"/>
      <c r="E168" s="3"/>
      <c r="F168" s="3"/>
      <c r="G168" s="3"/>
      <c r="H168" s="3"/>
      <c r="I168" s="3"/>
      <c r="J168" s="3"/>
      <c r="K168" s="3"/>
      <c r="L168" s="3"/>
      <c r="M168" s="3"/>
    </row>
    <row r="169" ht="15.75" customHeight="1">
      <c r="A169" s="3"/>
      <c r="B169" s="3"/>
      <c r="C169" s="3"/>
      <c r="D169" s="3"/>
      <c r="E169" s="3"/>
      <c r="F169" s="3"/>
      <c r="G169" s="3"/>
      <c r="H169" s="3"/>
      <c r="I169" s="3"/>
      <c r="J169" s="3"/>
      <c r="K169" s="3"/>
      <c r="L169" s="3"/>
      <c r="M169" s="3"/>
    </row>
    <row r="170" ht="15.75" customHeight="1">
      <c r="A170" s="3"/>
      <c r="B170" s="3"/>
      <c r="C170" s="3"/>
      <c r="D170" s="3"/>
      <c r="E170" s="3"/>
      <c r="F170" s="3"/>
      <c r="G170" s="3"/>
      <c r="H170" s="3"/>
      <c r="I170" s="3"/>
      <c r="J170" s="3"/>
      <c r="K170" s="3"/>
      <c r="L170" s="3"/>
      <c r="M170" s="3"/>
    </row>
    <row r="171" ht="15.75" customHeight="1">
      <c r="A171" s="3"/>
      <c r="B171" s="3"/>
      <c r="C171" s="3"/>
      <c r="D171" s="3"/>
      <c r="E171" s="3"/>
      <c r="F171" s="3"/>
      <c r="G171" s="3"/>
      <c r="H171" s="3"/>
      <c r="I171" s="3"/>
      <c r="J171" s="3"/>
      <c r="K171" s="3"/>
      <c r="L171" s="3"/>
      <c r="M171" s="3"/>
    </row>
    <row r="172" ht="15.75" customHeight="1">
      <c r="A172" s="3"/>
      <c r="B172" s="3"/>
      <c r="C172" s="3"/>
      <c r="D172" s="3"/>
      <c r="E172" s="3"/>
      <c r="F172" s="3"/>
      <c r="G172" s="3"/>
      <c r="H172" s="3"/>
      <c r="I172" s="3"/>
      <c r="J172" s="3"/>
      <c r="K172" s="3"/>
      <c r="L172" s="3"/>
      <c r="M172" s="3"/>
    </row>
    <row r="173" ht="15.75" customHeight="1">
      <c r="A173" s="3"/>
      <c r="B173" s="3"/>
      <c r="C173" s="3"/>
      <c r="D173" s="3"/>
      <c r="E173" s="3"/>
      <c r="F173" s="3"/>
      <c r="G173" s="3"/>
      <c r="H173" s="3"/>
      <c r="I173" s="3"/>
      <c r="J173" s="3"/>
      <c r="K173" s="3"/>
      <c r="L173" s="3"/>
      <c r="M173" s="3"/>
    </row>
    <row r="174" ht="15.75" customHeight="1">
      <c r="A174" s="3"/>
      <c r="B174" s="3"/>
      <c r="C174" s="3"/>
      <c r="D174" s="3"/>
      <c r="E174" s="3"/>
      <c r="F174" s="3"/>
      <c r="G174" s="3"/>
      <c r="H174" s="3"/>
      <c r="I174" s="3"/>
      <c r="J174" s="3"/>
      <c r="K174" s="3"/>
      <c r="L174" s="3"/>
      <c r="M174" s="3"/>
    </row>
    <row r="175" ht="15.75" customHeight="1">
      <c r="A175" s="3"/>
      <c r="B175" s="3"/>
      <c r="C175" s="3"/>
      <c r="D175" s="3"/>
      <c r="E175" s="3"/>
      <c r="F175" s="3"/>
      <c r="G175" s="3"/>
      <c r="H175" s="3"/>
      <c r="I175" s="3"/>
      <c r="J175" s="3"/>
      <c r="K175" s="3"/>
      <c r="L175" s="3"/>
      <c r="M175" s="3"/>
    </row>
    <row r="176" ht="15.75" customHeight="1">
      <c r="A176" s="3"/>
      <c r="B176" s="3"/>
      <c r="C176" s="3"/>
      <c r="D176" s="3"/>
      <c r="E176" s="3"/>
      <c r="F176" s="3"/>
      <c r="G176" s="3"/>
      <c r="H176" s="3"/>
      <c r="I176" s="3"/>
      <c r="J176" s="3"/>
      <c r="K176" s="3"/>
      <c r="L176" s="3"/>
      <c r="M176" s="3"/>
    </row>
    <row r="177" ht="15.75" customHeight="1">
      <c r="A177" s="3"/>
      <c r="B177" s="3"/>
      <c r="C177" s="3"/>
      <c r="D177" s="3"/>
      <c r="E177" s="3"/>
      <c r="F177" s="3"/>
      <c r="G177" s="3"/>
      <c r="H177" s="3"/>
      <c r="I177" s="3"/>
      <c r="J177" s="3"/>
      <c r="K177" s="3"/>
      <c r="L177" s="3"/>
      <c r="M177" s="3"/>
    </row>
    <row r="178" ht="15.75" customHeight="1">
      <c r="A178" s="3"/>
      <c r="B178" s="3"/>
      <c r="C178" s="3"/>
      <c r="D178" s="3"/>
      <c r="E178" s="3"/>
      <c r="F178" s="3"/>
      <c r="G178" s="3"/>
      <c r="H178" s="3"/>
      <c r="I178" s="3"/>
      <c r="J178" s="3"/>
      <c r="K178" s="3"/>
      <c r="L178" s="3"/>
      <c r="M178" s="3"/>
    </row>
    <row r="179" ht="15.75" customHeight="1">
      <c r="A179" s="3"/>
      <c r="B179" s="3"/>
      <c r="C179" s="3"/>
      <c r="D179" s="3"/>
      <c r="E179" s="3"/>
      <c r="F179" s="3"/>
      <c r="G179" s="3"/>
      <c r="H179" s="3"/>
      <c r="I179" s="3"/>
      <c r="J179" s="3"/>
      <c r="K179" s="3"/>
      <c r="L179" s="3"/>
      <c r="M179" s="3"/>
    </row>
    <row r="180" ht="15.75" customHeight="1">
      <c r="A180" s="3"/>
      <c r="B180" s="3"/>
      <c r="C180" s="3"/>
      <c r="D180" s="3"/>
      <c r="E180" s="3"/>
      <c r="F180" s="3"/>
      <c r="G180" s="3"/>
      <c r="H180" s="3"/>
      <c r="I180" s="3"/>
      <c r="J180" s="3"/>
      <c r="K180" s="3"/>
      <c r="L180" s="3"/>
      <c r="M180" s="3"/>
    </row>
    <row r="181" ht="15.75" customHeight="1">
      <c r="A181" s="3"/>
      <c r="B181" s="3"/>
      <c r="C181" s="3"/>
      <c r="D181" s="3"/>
      <c r="E181" s="3"/>
      <c r="F181" s="3"/>
      <c r="G181" s="3"/>
      <c r="H181" s="3"/>
      <c r="I181" s="3"/>
      <c r="J181" s="3"/>
      <c r="K181" s="3"/>
      <c r="L181" s="3"/>
      <c r="M181" s="3"/>
    </row>
    <row r="182" ht="15.75" customHeight="1">
      <c r="A182" s="3"/>
      <c r="B182" s="3"/>
      <c r="C182" s="3"/>
      <c r="D182" s="3"/>
      <c r="E182" s="3"/>
      <c r="F182" s="3"/>
      <c r="G182" s="3"/>
      <c r="H182" s="3"/>
      <c r="I182" s="3"/>
      <c r="J182" s="3"/>
      <c r="K182" s="3"/>
      <c r="L182" s="3"/>
      <c r="M182" s="3"/>
    </row>
    <row r="183" ht="15.75" customHeight="1">
      <c r="A183" s="3"/>
      <c r="B183" s="3"/>
      <c r="C183" s="3"/>
      <c r="D183" s="3"/>
      <c r="E183" s="3"/>
      <c r="F183" s="3"/>
      <c r="G183" s="3"/>
      <c r="H183" s="3"/>
      <c r="I183" s="3"/>
      <c r="J183" s="3"/>
      <c r="K183" s="3"/>
      <c r="L183" s="3"/>
      <c r="M183" s="3"/>
    </row>
    <row r="184" ht="15.75" customHeight="1">
      <c r="A184" s="3"/>
      <c r="B184" s="3"/>
      <c r="C184" s="3"/>
      <c r="D184" s="3"/>
      <c r="E184" s="3"/>
      <c r="F184" s="3"/>
      <c r="G184" s="3"/>
      <c r="H184" s="3"/>
      <c r="I184" s="3"/>
      <c r="J184" s="3"/>
      <c r="K184" s="3"/>
      <c r="L184" s="3"/>
      <c r="M184" s="3"/>
    </row>
    <row r="185" ht="15.75" customHeight="1">
      <c r="A185" s="3"/>
      <c r="B185" s="3"/>
      <c r="C185" s="3"/>
      <c r="D185" s="3"/>
      <c r="E185" s="3"/>
      <c r="F185" s="3"/>
      <c r="G185" s="3"/>
      <c r="H185" s="3"/>
      <c r="I185" s="3"/>
      <c r="J185" s="3"/>
      <c r="K185" s="3"/>
      <c r="L185" s="3"/>
      <c r="M185" s="3"/>
    </row>
    <row r="186" ht="15.75" customHeight="1">
      <c r="A186" s="3"/>
      <c r="B186" s="3"/>
      <c r="C186" s="3"/>
      <c r="D186" s="3"/>
      <c r="E186" s="3"/>
      <c r="F186" s="3"/>
      <c r="G186" s="3"/>
      <c r="H186" s="3"/>
      <c r="I186" s="3"/>
      <c r="J186" s="3"/>
      <c r="K186" s="3"/>
      <c r="L186" s="3"/>
      <c r="M186" s="3"/>
    </row>
    <row r="187" ht="15.75" customHeight="1">
      <c r="A187" s="3"/>
      <c r="B187" s="3"/>
      <c r="C187" s="3"/>
      <c r="D187" s="3"/>
      <c r="E187" s="3"/>
      <c r="F187" s="3"/>
      <c r="G187" s="3"/>
      <c r="H187" s="3"/>
      <c r="I187" s="3"/>
      <c r="J187" s="3"/>
      <c r="K187" s="3"/>
      <c r="L187" s="3"/>
      <c r="M187" s="3"/>
    </row>
    <row r="188" ht="15.75" customHeight="1">
      <c r="A188" s="3"/>
      <c r="B188" s="3"/>
      <c r="C188" s="3"/>
      <c r="D188" s="3"/>
      <c r="E188" s="3"/>
      <c r="F188" s="3"/>
      <c r="G188" s="3"/>
      <c r="H188" s="3"/>
      <c r="I188" s="3"/>
      <c r="J188" s="3"/>
      <c r="K188" s="3"/>
      <c r="L188" s="3"/>
      <c r="M188" s="3"/>
    </row>
    <row r="189" ht="15.75" customHeight="1">
      <c r="A189" s="3"/>
      <c r="B189" s="3"/>
      <c r="C189" s="3"/>
      <c r="D189" s="3"/>
      <c r="E189" s="3"/>
      <c r="F189" s="3"/>
      <c r="G189" s="3"/>
      <c r="H189" s="3"/>
      <c r="I189" s="3"/>
      <c r="J189" s="3"/>
      <c r="K189" s="3"/>
      <c r="L189" s="3"/>
      <c r="M189" s="3"/>
    </row>
    <row r="190" ht="15.75" customHeight="1">
      <c r="A190" s="3"/>
      <c r="B190" s="3"/>
      <c r="C190" s="3"/>
      <c r="D190" s="3"/>
      <c r="E190" s="3"/>
      <c r="F190" s="3"/>
      <c r="G190" s="3"/>
      <c r="H190" s="3"/>
      <c r="I190" s="3"/>
      <c r="J190" s="3"/>
      <c r="K190" s="3"/>
      <c r="L190" s="3"/>
      <c r="M190" s="3"/>
    </row>
    <row r="191" ht="15.75" customHeight="1">
      <c r="A191" s="3"/>
      <c r="B191" s="3"/>
      <c r="C191" s="3"/>
      <c r="D191" s="3"/>
      <c r="E191" s="3"/>
      <c r="F191" s="3"/>
      <c r="G191" s="3"/>
      <c r="H191" s="3"/>
      <c r="I191" s="3"/>
      <c r="J191" s="3"/>
      <c r="K191" s="3"/>
      <c r="L191" s="3"/>
      <c r="M191" s="3"/>
    </row>
    <row r="192" ht="15.75" customHeight="1">
      <c r="A192" s="3"/>
      <c r="B192" s="3"/>
      <c r="C192" s="3"/>
      <c r="D192" s="3"/>
      <c r="E192" s="3"/>
      <c r="F192" s="3"/>
      <c r="G192" s="3"/>
      <c r="H192" s="3"/>
      <c r="I192" s="3"/>
      <c r="J192" s="3"/>
      <c r="K192" s="3"/>
      <c r="L192" s="3"/>
      <c r="M192" s="3"/>
    </row>
    <row r="193" ht="15.75" customHeight="1">
      <c r="A193" s="3"/>
      <c r="B193" s="3"/>
      <c r="C193" s="3"/>
      <c r="D193" s="3"/>
      <c r="E193" s="3"/>
      <c r="F193" s="3"/>
      <c r="G193" s="3"/>
      <c r="H193" s="3"/>
      <c r="I193" s="3"/>
      <c r="J193" s="3"/>
      <c r="K193" s="3"/>
      <c r="L193" s="3"/>
      <c r="M193" s="3"/>
    </row>
    <row r="194" ht="15.75" customHeight="1">
      <c r="A194" s="3"/>
      <c r="B194" s="3"/>
      <c r="C194" s="3"/>
      <c r="D194" s="3"/>
      <c r="E194" s="3"/>
      <c r="F194" s="3"/>
      <c r="G194" s="3"/>
      <c r="H194" s="3"/>
      <c r="I194" s="3"/>
      <c r="J194" s="3"/>
      <c r="K194" s="3"/>
      <c r="L194" s="3"/>
      <c r="M194" s="3"/>
    </row>
    <row r="195" ht="15.75" customHeight="1">
      <c r="A195" s="3"/>
      <c r="B195" s="3"/>
      <c r="C195" s="3"/>
      <c r="D195" s="3"/>
      <c r="E195" s="3"/>
      <c r="F195" s="3"/>
      <c r="G195" s="3"/>
      <c r="H195" s="3"/>
      <c r="I195" s="3"/>
      <c r="J195" s="3"/>
      <c r="K195" s="3"/>
      <c r="L195" s="3"/>
      <c r="M195" s="3"/>
    </row>
    <row r="196" ht="15.75" customHeight="1">
      <c r="A196" s="3"/>
      <c r="B196" s="3"/>
      <c r="C196" s="3"/>
      <c r="D196" s="3"/>
      <c r="E196" s="3"/>
      <c r="F196" s="3"/>
      <c r="G196" s="3"/>
      <c r="H196" s="3"/>
      <c r="I196" s="3"/>
      <c r="J196" s="3"/>
      <c r="K196" s="3"/>
      <c r="L196" s="3"/>
      <c r="M196" s="3"/>
    </row>
    <row r="197" ht="15.75" customHeight="1">
      <c r="A197" s="3"/>
      <c r="B197" s="3"/>
      <c r="C197" s="3"/>
      <c r="D197" s="3"/>
      <c r="E197" s="3"/>
      <c r="F197" s="3"/>
      <c r="G197" s="3"/>
      <c r="H197" s="3"/>
      <c r="I197" s="3"/>
      <c r="J197" s="3"/>
      <c r="K197" s="3"/>
      <c r="L197" s="3"/>
      <c r="M197" s="3"/>
    </row>
    <row r="198" ht="15.75" customHeight="1">
      <c r="A198" s="3"/>
      <c r="B198" s="3"/>
      <c r="C198" s="3"/>
      <c r="D198" s="3"/>
      <c r="E198" s="3"/>
      <c r="F198" s="3"/>
      <c r="G198" s="3"/>
      <c r="H198" s="3"/>
      <c r="I198" s="3"/>
      <c r="J198" s="3"/>
      <c r="K198" s="3"/>
      <c r="L198" s="3"/>
      <c r="M198" s="3"/>
    </row>
    <row r="199" ht="15.75" customHeight="1">
      <c r="A199" s="3"/>
      <c r="B199" s="3"/>
      <c r="C199" s="3"/>
      <c r="D199" s="3"/>
      <c r="E199" s="3"/>
      <c r="F199" s="3"/>
      <c r="G199" s="3"/>
      <c r="H199" s="3"/>
      <c r="I199" s="3"/>
      <c r="J199" s="3"/>
      <c r="K199" s="3"/>
      <c r="L199" s="3"/>
      <c r="M199" s="3"/>
    </row>
    <row r="200" ht="15.75" customHeight="1">
      <c r="A200" s="3"/>
      <c r="B200" s="3"/>
      <c r="C200" s="3"/>
      <c r="D200" s="3"/>
      <c r="E200" s="3"/>
      <c r="F200" s="3"/>
      <c r="G200" s="3"/>
      <c r="H200" s="3"/>
      <c r="I200" s="3"/>
      <c r="J200" s="3"/>
      <c r="K200" s="3"/>
      <c r="L200" s="3"/>
      <c r="M200" s="3"/>
    </row>
    <row r="201" ht="15.75" customHeight="1">
      <c r="A201" s="3"/>
      <c r="B201" s="3"/>
      <c r="C201" s="3"/>
      <c r="D201" s="3"/>
      <c r="E201" s="3"/>
      <c r="F201" s="3"/>
      <c r="G201" s="3"/>
      <c r="H201" s="3"/>
      <c r="I201" s="3"/>
      <c r="J201" s="3"/>
      <c r="K201" s="3"/>
      <c r="L201" s="3"/>
      <c r="M201" s="3"/>
    </row>
    <row r="202" ht="15.75" customHeight="1">
      <c r="A202" s="3"/>
      <c r="B202" s="3"/>
      <c r="C202" s="3"/>
      <c r="D202" s="3"/>
      <c r="E202" s="3"/>
      <c r="F202" s="3"/>
      <c r="G202" s="3"/>
      <c r="H202" s="3"/>
      <c r="I202" s="3"/>
      <c r="J202" s="3"/>
      <c r="K202" s="3"/>
      <c r="L202" s="3"/>
      <c r="M202" s="3"/>
    </row>
    <row r="203" ht="15.75" customHeight="1">
      <c r="A203" s="3"/>
      <c r="B203" s="3"/>
      <c r="C203" s="3"/>
      <c r="D203" s="3"/>
      <c r="E203" s="3"/>
      <c r="F203" s="3"/>
      <c r="G203" s="3"/>
      <c r="H203" s="3"/>
      <c r="I203" s="3"/>
      <c r="J203" s="3"/>
      <c r="K203" s="3"/>
      <c r="L203" s="3"/>
      <c r="M203" s="3"/>
    </row>
    <row r="204" ht="15.75" customHeight="1">
      <c r="A204" s="3"/>
      <c r="B204" s="3"/>
      <c r="C204" s="3"/>
      <c r="D204" s="3"/>
      <c r="E204" s="3"/>
      <c r="F204" s="3"/>
      <c r="G204" s="3"/>
      <c r="H204" s="3"/>
      <c r="I204" s="3"/>
      <c r="J204" s="3"/>
      <c r="K204" s="3"/>
      <c r="L204" s="3"/>
      <c r="M204" s="3"/>
    </row>
    <row r="205" ht="15.75" customHeight="1">
      <c r="A205" s="3"/>
      <c r="B205" s="3"/>
      <c r="C205" s="3"/>
      <c r="D205" s="3"/>
      <c r="E205" s="3"/>
      <c r="F205" s="3"/>
      <c r="G205" s="3"/>
      <c r="H205" s="3"/>
      <c r="I205" s="3"/>
      <c r="J205" s="3"/>
      <c r="K205" s="3"/>
      <c r="L205" s="3"/>
      <c r="M205" s="3"/>
    </row>
    <row r="206" ht="15.75" customHeight="1">
      <c r="A206" s="3"/>
      <c r="B206" s="3"/>
      <c r="C206" s="3"/>
      <c r="D206" s="3"/>
      <c r="E206" s="3"/>
      <c r="F206" s="3"/>
      <c r="G206" s="3"/>
      <c r="H206" s="3"/>
      <c r="I206" s="3"/>
      <c r="J206" s="3"/>
      <c r="K206" s="3"/>
      <c r="L206" s="3"/>
      <c r="M206" s="3"/>
    </row>
    <row r="207" ht="15.75" customHeight="1">
      <c r="A207" s="3"/>
      <c r="B207" s="3"/>
      <c r="C207" s="3"/>
      <c r="D207" s="3"/>
      <c r="E207" s="3"/>
      <c r="F207" s="3"/>
      <c r="G207" s="3"/>
      <c r="H207" s="3"/>
      <c r="I207" s="3"/>
      <c r="J207" s="3"/>
      <c r="K207" s="3"/>
      <c r="L207" s="3"/>
      <c r="M207" s="3"/>
    </row>
    <row r="208" ht="15.75" customHeight="1">
      <c r="A208" s="3"/>
      <c r="B208" s="3"/>
      <c r="C208" s="3"/>
      <c r="D208" s="3"/>
      <c r="E208" s="3"/>
      <c r="F208" s="3"/>
      <c r="G208" s="3"/>
      <c r="H208" s="3"/>
      <c r="I208" s="3"/>
      <c r="J208" s="3"/>
      <c r="K208" s="3"/>
      <c r="L208" s="3"/>
      <c r="M208" s="3"/>
    </row>
    <row r="209" ht="15.75" customHeight="1">
      <c r="A209" s="3"/>
      <c r="B209" s="3"/>
      <c r="C209" s="3"/>
      <c r="D209" s="3"/>
      <c r="E209" s="3"/>
      <c r="F209" s="3"/>
      <c r="G209" s="3"/>
      <c r="H209" s="3"/>
      <c r="I209" s="3"/>
      <c r="J209" s="3"/>
      <c r="K209" s="3"/>
      <c r="L209" s="3"/>
      <c r="M209" s="3"/>
    </row>
    <row r="210" ht="15.75" customHeight="1">
      <c r="A210" s="3"/>
      <c r="B210" s="3"/>
      <c r="C210" s="3"/>
      <c r="D210" s="3"/>
      <c r="E210" s="3"/>
      <c r="F210" s="3"/>
      <c r="G210" s="3"/>
      <c r="H210" s="3"/>
      <c r="I210" s="3"/>
      <c r="J210" s="3"/>
      <c r="K210" s="3"/>
      <c r="L210" s="3"/>
      <c r="M210" s="3"/>
    </row>
    <row r="211" ht="15.75" customHeight="1">
      <c r="A211" s="3"/>
      <c r="B211" s="3"/>
      <c r="C211" s="3"/>
      <c r="D211" s="3"/>
      <c r="E211" s="3"/>
      <c r="F211" s="3"/>
      <c r="G211" s="3"/>
      <c r="H211" s="3"/>
      <c r="I211" s="3"/>
      <c r="J211" s="3"/>
      <c r="K211" s="3"/>
      <c r="L211" s="3"/>
      <c r="M211" s="3"/>
    </row>
    <row r="212" ht="15.75" customHeight="1">
      <c r="A212" s="3"/>
      <c r="B212" s="3"/>
      <c r="C212" s="3"/>
      <c r="D212" s="3"/>
      <c r="E212" s="3"/>
      <c r="F212" s="3"/>
      <c r="G212" s="3"/>
      <c r="H212" s="3"/>
      <c r="I212" s="3"/>
      <c r="J212" s="3"/>
      <c r="K212" s="3"/>
      <c r="L212" s="3"/>
      <c r="M212" s="3"/>
    </row>
    <row r="213" ht="15.75" customHeight="1">
      <c r="A213" s="3"/>
      <c r="B213" s="3"/>
      <c r="C213" s="3"/>
      <c r="D213" s="3"/>
      <c r="E213" s="3"/>
      <c r="F213" s="3"/>
      <c r="G213" s="3"/>
      <c r="H213" s="3"/>
      <c r="I213" s="3"/>
      <c r="J213" s="3"/>
      <c r="K213" s="3"/>
      <c r="L213" s="3"/>
      <c r="M213" s="3"/>
    </row>
    <row r="214" ht="15.75" customHeight="1">
      <c r="A214" s="3"/>
      <c r="B214" s="3"/>
      <c r="C214" s="3"/>
      <c r="D214" s="3"/>
      <c r="E214" s="3"/>
      <c r="F214" s="3"/>
      <c r="G214" s="3"/>
      <c r="H214" s="3"/>
      <c r="I214" s="3"/>
      <c r="J214" s="3"/>
      <c r="K214" s="3"/>
      <c r="L214" s="3"/>
      <c r="M214" s="3"/>
    </row>
    <row r="215" ht="15.75" customHeight="1">
      <c r="A215" s="3"/>
      <c r="B215" s="3"/>
      <c r="C215" s="3"/>
      <c r="D215" s="3"/>
      <c r="E215" s="3"/>
      <c r="F215" s="3"/>
      <c r="G215" s="3"/>
      <c r="H215" s="3"/>
      <c r="I215" s="3"/>
      <c r="J215" s="3"/>
      <c r="K215" s="3"/>
      <c r="L215" s="3"/>
      <c r="M215" s="3"/>
    </row>
    <row r="216" ht="15.75" customHeight="1">
      <c r="A216" s="3"/>
      <c r="B216" s="3"/>
      <c r="C216" s="3"/>
      <c r="D216" s="3"/>
      <c r="E216" s="3"/>
      <c r="F216" s="3"/>
      <c r="G216" s="3"/>
      <c r="H216" s="3"/>
      <c r="I216" s="3"/>
      <c r="J216" s="3"/>
      <c r="K216" s="3"/>
      <c r="L216" s="3"/>
      <c r="M216" s="3"/>
    </row>
    <row r="217" ht="15.75" customHeight="1">
      <c r="A217" s="3"/>
      <c r="B217" s="3"/>
      <c r="C217" s="3"/>
      <c r="D217" s="3"/>
      <c r="E217" s="3"/>
      <c r="F217" s="3"/>
      <c r="G217" s="3"/>
      <c r="H217" s="3"/>
      <c r="I217" s="3"/>
      <c r="J217" s="3"/>
      <c r="K217" s="3"/>
      <c r="L217" s="3"/>
      <c r="M217" s="3"/>
    </row>
    <row r="218" ht="15.75" customHeight="1">
      <c r="A218" s="3"/>
      <c r="B218" s="3"/>
      <c r="C218" s="3"/>
      <c r="D218" s="3"/>
      <c r="E218" s="3"/>
      <c r="F218" s="3"/>
      <c r="G218" s="3"/>
      <c r="H218" s="3"/>
      <c r="I218" s="3"/>
      <c r="J218" s="3"/>
      <c r="K218" s="3"/>
      <c r="L218" s="3"/>
      <c r="M218" s="3"/>
    </row>
    <row r="219" ht="15.75" customHeight="1">
      <c r="A219" s="3"/>
      <c r="B219" s="3"/>
      <c r="C219" s="3"/>
      <c r="D219" s="3"/>
      <c r="E219" s="3"/>
      <c r="F219" s="3"/>
      <c r="G219" s="3"/>
      <c r="H219" s="3"/>
      <c r="I219" s="3"/>
      <c r="J219" s="3"/>
      <c r="K219" s="3"/>
      <c r="L219" s="3"/>
      <c r="M219" s="3"/>
    </row>
    <row r="220" ht="15.75" customHeight="1">
      <c r="A220" s="3"/>
      <c r="B220" s="3"/>
      <c r="C220" s="3"/>
      <c r="D220" s="3"/>
      <c r="E220" s="3"/>
      <c r="F220" s="3"/>
      <c r="G220" s="3"/>
      <c r="H220" s="3"/>
      <c r="I220" s="3"/>
      <c r="J220" s="3"/>
      <c r="K220" s="3"/>
      <c r="L220" s="3"/>
      <c r="M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dataValidations>
    <dataValidation type="list" allowBlank="1" sqref="M2:M45">
      <formula1>"Not Executed,Passed,Failed,Blocked"</formula1>
    </dataValidation>
    <dataValidation type="list" allowBlank="1" sqref="L2:L45">
      <formula1>"Automation,Manual"</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4.0"/>
    <col customWidth="1" min="3" max="3" width="30.0"/>
    <col customWidth="1" min="4" max="4" width="10.0"/>
    <col customWidth="1" min="5" max="5" width="40.0"/>
    <col customWidth="1" min="6" max="6" width="32.0"/>
    <col customWidth="1" min="7" max="7" width="34.0"/>
    <col customWidth="1" min="8" max="8" width="55.0"/>
    <col customWidth="1" min="9" max="9" width="45.0"/>
    <col customWidth="1" min="10" max="10" width="30.0"/>
    <col customWidth="1" min="11" max="11" width="12.0"/>
    <col customWidth="1" min="12" max="12" width="13.0"/>
    <col customWidth="1" min="13" max="13" width="14.0"/>
  </cols>
  <sheetData>
    <row r="1" ht="19.5" customHeight="1">
      <c r="A1" s="19" t="s">
        <v>223</v>
      </c>
      <c r="B1" s="19" t="s">
        <v>30</v>
      </c>
      <c r="C1" s="19" t="s">
        <v>224</v>
      </c>
      <c r="D1" s="19" t="s">
        <v>225</v>
      </c>
      <c r="E1" s="19" t="s">
        <v>226</v>
      </c>
      <c r="F1" s="19" t="s">
        <v>227</v>
      </c>
      <c r="G1" s="19" t="s">
        <v>228</v>
      </c>
      <c r="H1" s="19" t="s">
        <v>229</v>
      </c>
      <c r="I1" s="19" t="s">
        <v>230</v>
      </c>
      <c r="J1" s="19" t="s">
        <v>231</v>
      </c>
      <c r="K1" s="19" t="s">
        <v>232</v>
      </c>
      <c r="L1" s="19" t="s">
        <v>233</v>
      </c>
      <c r="M1" s="19" t="s">
        <v>234</v>
      </c>
    </row>
    <row r="2" ht="60.0" customHeight="1">
      <c r="A2" s="20" t="s">
        <v>284</v>
      </c>
      <c r="B2" s="20" t="s">
        <v>286</v>
      </c>
      <c r="C2" s="20" t="s">
        <v>237</v>
      </c>
      <c r="D2" s="20" t="s">
        <v>238</v>
      </c>
      <c r="E2" s="20" t="s">
        <v>288</v>
      </c>
      <c r="F2" s="20" t="s">
        <v>289</v>
      </c>
      <c r="G2" s="20" t="s">
        <v>11</v>
      </c>
      <c r="H2" s="20" t="s">
        <v>293</v>
      </c>
      <c r="I2" s="20" t="s">
        <v>295</v>
      </c>
      <c r="J2" s="20" t="s">
        <v>297</v>
      </c>
      <c r="K2" s="21" t="s">
        <v>244</v>
      </c>
      <c r="L2" s="22" t="s">
        <v>245</v>
      </c>
      <c r="M2" s="23" t="s">
        <v>246</v>
      </c>
    </row>
    <row r="3" ht="46.5" customHeight="1">
      <c r="A3" s="20" t="s">
        <v>307</v>
      </c>
      <c r="B3" s="20" t="s">
        <v>286</v>
      </c>
      <c r="C3" s="20" t="s">
        <v>237</v>
      </c>
      <c r="D3" s="20" t="s">
        <v>248</v>
      </c>
      <c r="E3" s="20" t="s">
        <v>249</v>
      </c>
      <c r="F3" s="20" t="s">
        <v>310</v>
      </c>
      <c r="G3" s="20" t="s">
        <v>11</v>
      </c>
      <c r="H3" s="20" t="s">
        <v>313</v>
      </c>
      <c r="I3" s="20" t="s">
        <v>315</v>
      </c>
      <c r="J3" s="20" t="s">
        <v>253</v>
      </c>
      <c r="K3" s="24" t="s">
        <v>254</v>
      </c>
      <c r="L3" s="22" t="s">
        <v>245</v>
      </c>
      <c r="M3" s="23" t="s">
        <v>246</v>
      </c>
    </row>
    <row r="4" ht="33.0" customHeight="1">
      <c r="A4" s="20" t="s">
        <v>322</v>
      </c>
      <c r="B4" s="20" t="s">
        <v>286</v>
      </c>
      <c r="C4" s="20" t="s">
        <v>237</v>
      </c>
      <c r="D4" s="20" t="s">
        <v>248</v>
      </c>
      <c r="E4" s="20" t="s">
        <v>327</v>
      </c>
      <c r="F4" s="20" t="s">
        <v>33</v>
      </c>
      <c r="G4" s="20" t="s">
        <v>14</v>
      </c>
      <c r="H4" s="20" t="s">
        <v>330</v>
      </c>
      <c r="I4" s="20" t="s">
        <v>331</v>
      </c>
      <c r="J4" s="20" t="s">
        <v>259</v>
      </c>
      <c r="K4" s="21" t="s">
        <v>244</v>
      </c>
      <c r="L4" s="22" t="s">
        <v>245</v>
      </c>
      <c r="M4" s="23" t="s">
        <v>246</v>
      </c>
    </row>
    <row r="5" ht="60.0" customHeight="1">
      <c r="A5" s="20" t="s">
        <v>337</v>
      </c>
      <c r="B5" s="20" t="s">
        <v>286</v>
      </c>
      <c r="C5" s="20" t="s">
        <v>261</v>
      </c>
      <c r="D5" s="20" t="s">
        <v>248</v>
      </c>
      <c r="E5" s="20" t="s">
        <v>339</v>
      </c>
      <c r="F5" s="20" t="s">
        <v>33</v>
      </c>
      <c r="G5" s="20" t="s">
        <v>341</v>
      </c>
      <c r="H5" s="20" t="s">
        <v>342</v>
      </c>
      <c r="I5" s="20" t="s">
        <v>345</v>
      </c>
      <c r="J5" s="20" t="s">
        <v>347</v>
      </c>
      <c r="K5" s="24" t="s">
        <v>254</v>
      </c>
      <c r="L5" s="22" t="s">
        <v>245</v>
      </c>
      <c r="M5" s="23" t="s">
        <v>246</v>
      </c>
    </row>
    <row r="6" ht="60.0" customHeight="1">
      <c r="A6" s="20" t="s">
        <v>349</v>
      </c>
      <c r="B6" s="20" t="s">
        <v>286</v>
      </c>
      <c r="C6" s="20" t="s">
        <v>352</v>
      </c>
      <c r="D6" s="20" t="s">
        <v>238</v>
      </c>
      <c r="E6" s="20" t="s">
        <v>354</v>
      </c>
      <c r="F6" s="20" t="s">
        <v>33</v>
      </c>
      <c r="G6" s="20" t="s">
        <v>17</v>
      </c>
      <c r="H6" s="20" t="s">
        <v>356</v>
      </c>
      <c r="I6" s="20" t="s">
        <v>358</v>
      </c>
      <c r="J6" s="20" t="s">
        <v>33</v>
      </c>
      <c r="K6" s="21" t="s">
        <v>244</v>
      </c>
      <c r="L6" s="22" t="s">
        <v>245</v>
      </c>
      <c r="M6" s="23" t="s">
        <v>246</v>
      </c>
    </row>
    <row r="7" ht="87.0" customHeight="1">
      <c r="A7" s="20" t="s">
        <v>364</v>
      </c>
      <c r="B7" s="20" t="s">
        <v>286</v>
      </c>
      <c r="C7" s="20" t="s">
        <v>352</v>
      </c>
      <c r="D7" s="20" t="s">
        <v>248</v>
      </c>
      <c r="E7" s="20" t="s">
        <v>366</v>
      </c>
      <c r="F7" s="20" t="s">
        <v>33</v>
      </c>
      <c r="G7" s="20" t="s">
        <v>17</v>
      </c>
      <c r="H7" s="20" t="s">
        <v>370</v>
      </c>
      <c r="I7" s="20" t="s">
        <v>372</v>
      </c>
      <c r="J7" s="20" t="s">
        <v>33</v>
      </c>
      <c r="K7" s="24" t="s">
        <v>254</v>
      </c>
      <c r="L7" s="22" t="s">
        <v>245</v>
      </c>
      <c r="M7" s="23" t="s">
        <v>246</v>
      </c>
    </row>
    <row r="8" ht="100.5" customHeight="1">
      <c r="A8" s="20" t="s">
        <v>376</v>
      </c>
      <c r="B8" s="20" t="s">
        <v>286</v>
      </c>
      <c r="C8" s="20" t="s">
        <v>379</v>
      </c>
      <c r="D8" s="20" t="s">
        <v>304</v>
      </c>
      <c r="E8" s="20" t="s">
        <v>380</v>
      </c>
      <c r="F8" s="20" t="s">
        <v>33</v>
      </c>
      <c r="G8" s="20" t="s">
        <v>381</v>
      </c>
      <c r="H8" s="20" t="s">
        <v>383</v>
      </c>
      <c r="I8" s="20" t="s">
        <v>385</v>
      </c>
      <c r="J8" s="20" t="s">
        <v>33</v>
      </c>
      <c r="K8" s="24" t="s">
        <v>254</v>
      </c>
      <c r="L8" s="22" t="s">
        <v>245</v>
      </c>
      <c r="M8" s="23" t="s">
        <v>246</v>
      </c>
    </row>
    <row r="9" ht="154.5" customHeight="1">
      <c r="A9" s="20" t="s">
        <v>390</v>
      </c>
      <c r="B9" s="20" t="s">
        <v>286</v>
      </c>
      <c r="C9" s="20" t="s">
        <v>392</v>
      </c>
      <c r="D9" s="20" t="s">
        <v>238</v>
      </c>
      <c r="E9" s="20" t="s">
        <v>394</v>
      </c>
      <c r="F9" s="20" t="s">
        <v>33</v>
      </c>
      <c r="G9" s="20" t="s">
        <v>398</v>
      </c>
      <c r="H9" s="20" t="s">
        <v>400</v>
      </c>
      <c r="I9" s="20" t="s">
        <v>401</v>
      </c>
      <c r="J9" s="20" t="s">
        <v>403</v>
      </c>
      <c r="K9" s="21" t="s">
        <v>244</v>
      </c>
      <c r="L9" s="22" t="s">
        <v>245</v>
      </c>
      <c r="M9" s="23" t="s">
        <v>246</v>
      </c>
    </row>
    <row r="10" ht="33.0" customHeight="1">
      <c r="A10" s="20" t="s">
        <v>407</v>
      </c>
      <c r="B10" s="20" t="s">
        <v>286</v>
      </c>
      <c r="C10" s="20" t="s">
        <v>392</v>
      </c>
      <c r="D10" s="20" t="s">
        <v>304</v>
      </c>
      <c r="E10" s="20" t="s">
        <v>410</v>
      </c>
      <c r="F10" s="20" t="s">
        <v>33</v>
      </c>
      <c r="G10" s="20" t="s">
        <v>413</v>
      </c>
      <c r="H10" s="20" t="s">
        <v>415</v>
      </c>
      <c r="I10" s="20" t="s">
        <v>417</v>
      </c>
      <c r="J10" s="20" t="s">
        <v>33</v>
      </c>
      <c r="K10" s="24" t="s">
        <v>254</v>
      </c>
      <c r="L10" s="22" t="s">
        <v>245</v>
      </c>
      <c r="M10" s="23" t="s">
        <v>246</v>
      </c>
    </row>
    <row r="11" ht="46.5" customHeight="1">
      <c r="A11" s="20" t="s">
        <v>420</v>
      </c>
      <c r="B11" s="20" t="s">
        <v>286</v>
      </c>
      <c r="C11" s="20" t="s">
        <v>392</v>
      </c>
      <c r="D11" s="20" t="s">
        <v>304</v>
      </c>
      <c r="E11" s="20" t="s">
        <v>410</v>
      </c>
      <c r="F11" s="20" t="s">
        <v>33</v>
      </c>
      <c r="G11" s="20" t="s">
        <v>413</v>
      </c>
      <c r="H11" s="20" t="s">
        <v>424</v>
      </c>
      <c r="I11" s="20" t="s">
        <v>427</v>
      </c>
      <c r="J11" s="20" t="s">
        <v>33</v>
      </c>
      <c r="K11" s="24" t="s">
        <v>254</v>
      </c>
      <c r="L11" s="22" t="s">
        <v>245</v>
      </c>
      <c r="M11" s="23" t="s">
        <v>246</v>
      </c>
    </row>
    <row r="12" ht="33.0" customHeight="1">
      <c r="A12" s="20" t="s">
        <v>431</v>
      </c>
      <c r="B12" s="20" t="s">
        <v>286</v>
      </c>
      <c r="C12" s="20" t="s">
        <v>392</v>
      </c>
      <c r="D12" s="20" t="s">
        <v>304</v>
      </c>
      <c r="E12" s="20" t="s">
        <v>410</v>
      </c>
      <c r="F12" s="20" t="s">
        <v>33</v>
      </c>
      <c r="G12" s="20" t="s">
        <v>413</v>
      </c>
      <c r="H12" s="20" t="s">
        <v>435</v>
      </c>
      <c r="I12" s="20" t="s">
        <v>437</v>
      </c>
      <c r="J12" s="20" t="s">
        <v>33</v>
      </c>
      <c r="K12" s="24" t="s">
        <v>254</v>
      </c>
      <c r="L12" s="22" t="s">
        <v>245</v>
      </c>
      <c r="M12" s="23" t="s">
        <v>246</v>
      </c>
    </row>
    <row r="13" ht="127.5" customHeight="1">
      <c r="A13" s="20" t="s">
        <v>440</v>
      </c>
      <c r="B13" s="20" t="s">
        <v>286</v>
      </c>
      <c r="C13" s="20" t="s">
        <v>443</v>
      </c>
      <c r="D13" s="20" t="s">
        <v>238</v>
      </c>
      <c r="E13" s="20" t="s">
        <v>446</v>
      </c>
      <c r="F13" s="20" t="s">
        <v>33</v>
      </c>
      <c r="G13" s="20" t="s">
        <v>447</v>
      </c>
      <c r="H13" s="20" t="s">
        <v>449</v>
      </c>
      <c r="I13" s="20" t="s">
        <v>450</v>
      </c>
      <c r="J13" s="20" t="s">
        <v>451</v>
      </c>
      <c r="K13" s="21" t="s">
        <v>244</v>
      </c>
      <c r="L13" s="22" t="s">
        <v>245</v>
      </c>
      <c r="M13" s="23" t="s">
        <v>246</v>
      </c>
    </row>
    <row r="14" ht="33.0" customHeight="1">
      <c r="A14" s="20" t="s">
        <v>456</v>
      </c>
      <c r="B14" s="20" t="s">
        <v>286</v>
      </c>
      <c r="C14" s="20" t="s">
        <v>443</v>
      </c>
      <c r="D14" s="20" t="s">
        <v>304</v>
      </c>
      <c r="E14" s="20" t="s">
        <v>458</v>
      </c>
      <c r="F14" s="20" t="s">
        <v>33</v>
      </c>
      <c r="G14" s="20" t="s">
        <v>460</v>
      </c>
      <c r="H14" s="20" t="s">
        <v>462</v>
      </c>
      <c r="I14" s="20" t="s">
        <v>464</v>
      </c>
      <c r="J14" s="20" t="s">
        <v>33</v>
      </c>
      <c r="K14" s="24" t="s">
        <v>254</v>
      </c>
      <c r="L14" s="22" t="s">
        <v>245</v>
      </c>
      <c r="M14" s="23" t="s">
        <v>246</v>
      </c>
    </row>
    <row r="15" ht="46.5" customHeight="1">
      <c r="A15" s="20" t="s">
        <v>470</v>
      </c>
      <c r="B15" s="20" t="s">
        <v>286</v>
      </c>
      <c r="C15" s="20" t="s">
        <v>473</v>
      </c>
      <c r="D15" s="20" t="s">
        <v>248</v>
      </c>
      <c r="E15" s="20" t="s">
        <v>475</v>
      </c>
      <c r="F15" s="20" t="s">
        <v>33</v>
      </c>
      <c r="G15" s="20" t="s">
        <v>477</v>
      </c>
      <c r="H15" s="20" t="s">
        <v>479</v>
      </c>
      <c r="I15" s="20" t="s">
        <v>482</v>
      </c>
      <c r="J15" s="20" t="s">
        <v>33</v>
      </c>
      <c r="K15" s="24" t="s">
        <v>254</v>
      </c>
      <c r="L15" s="22" t="s">
        <v>245</v>
      </c>
      <c r="M15" s="23" t="s">
        <v>246</v>
      </c>
    </row>
    <row r="16" ht="100.5" customHeight="1">
      <c r="A16" s="20" t="s">
        <v>486</v>
      </c>
      <c r="B16" s="20" t="s">
        <v>286</v>
      </c>
      <c r="C16" s="20" t="s">
        <v>473</v>
      </c>
      <c r="D16" s="20" t="s">
        <v>238</v>
      </c>
      <c r="E16" s="20" t="s">
        <v>491</v>
      </c>
      <c r="F16" s="20" t="s">
        <v>33</v>
      </c>
      <c r="G16" s="20" t="s">
        <v>477</v>
      </c>
      <c r="H16" s="20" t="s">
        <v>492</v>
      </c>
      <c r="I16" s="20" t="s">
        <v>495</v>
      </c>
      <c r="J16" s="20" t="s">
        <v>33</v>
      </c>
      <c r="K16" s="24" t="s">
        <v>254</v>
      </c>
      <c r="L16" s="22" t="s">
        <v>245</v>
      </c>
      <c r="M16" s="23" t="s">
        <v>246</v>
      </c>
    </row>
    <row r="17" ht="100.5" customHeight="1">
      <c r="A17" s="20" t="s">
        <v>501</v>
      </c>
      <c r="B17" s="20" t="s">
        <v>286</v>
      </c>
      <c r="C17" s="20" t="s">
        <v>473</v>
      </c>
      <c r="D17" s="20" t="s">
        <v>238</v>
      </c>
      <c r="E17" s="20" t="s">
        <v>504</v>
      </c>
      <c r="F17" s="20" t="s">
        <v>33</v>
      </c>
      <c r="G17" s="20" t="s">
        <v>477</v>
      </c>
      <c r="H17" s="20" t="s">
        <v>508</v>
      </c>
      <c r="I17" s="20" t="s">
        <v>509</v>
      </c>
      <c r="J17" s="20" t="s">
        <v>33</v>
      </c>
      <c r="K17" s="24" t="s">
        <v>254</v>
      </c>
      <c r="L17" s="22" t="s">
        <v>245</v>
      </c>
      <c r="M17" s="23" t="s">
        <v>246</v>
      </c>
    </row>
    <row r="18" ht="127.5" customHeight="1">
      <c r="A18" s="20" t="s">
        <v>514</v>
      </c>
      <c r="B18" s="20" t="s">
        <v>286</v>
      </c>
      <c r="C18" s="20" t="s">
        <v>516</v>
      </c>
      <c r="D18" s="20" t="s">
        <v>238</v>
      </c>
      <c r="E18" s="20" t="s">
        <v>518</v>
      </c>
      <c r="F18" s="20" t="s">
        <v>33</v>
      </c>
      <c r="G18" s="20" t="s">
        <v>520</v>
      </c>
      <c r="H18" s="20" t="s">
        <v>522</v>
      </c>
      <c r="I18" s="20" t="s">
        <v>525</v>
      </c>
      <c r="J18" s="20" t="s">
        <v>33</v>
      </c>
      <c r="K18" s="24" t="s">
        <v>254</v>
      </c>
      <c r="L18" s="22" t="s">
        <v>245</v>
      </c>
      <c r="M18" s="23" t="s">
        <v>246</v>
      </c>
    </row>
    <row r="19" ht="100.5" customHeight="1">
      <c r="A19" s="20" t="s">
        <v>528</v>
      </c>
      <c r="B19" s="20" t="s">
        <v>286</v>
      </c>
      <c r="C19" s="20" t="s">
        <v>516</v>
      </c>
      <c r="D19" s="20" t="s">
        <v>248</v>
      </c>
      <c r="E19" s="20" t="s">
        <v>532</v>
      </c>
      <c r="F19" s="20" t="s">
        <v>33</v>
      </c>
      <c r="G19" s="20" t="s">
        <v>535</v>
      </c>
      <c r="H19" s="20" t="s">
        <v>536</v>
      </c>
      <c r="I19" s="20" t="s">
        <v>538</v>
      </c>
      <c r="J19" s="20" t="s">
        <v>33</v>
      </c>
      <c r="K19" s="24" t="s">
        <v>254</v>
      </c>
      <c r="L19" s="22" t="s">
        <v>245</v>
      </c>
      <c r="M19" s="23" t="s">
        <v>246</v>
      </c>
    </row>
    <row r="20" ht="73.5" customHeight="1">
      <c r="A20" s="20" t="s">
        <v>542</v>
      </c>
      <c r="B20" s="20" t="s">
        <v>286</v>
      </c>
      <c r="C20" s="20" t="s">
        <v>516</v>
      </c>
      <c r="D20" s="20" t="s">
        <v>248</v>
      </c>
      <c r="E20" s="20" t="s">
        <v>532</v>
      </c>
      <c r="F20" s="20" t="s">
        <v>33</v>
      </c>
      <c r="G20" s="20" t="s">
        <v>531</v>
      </c>
      <c r="H20" s="20" t="s">
        <v>545</v>
      </c>
      <c r="I20" s="20" t="s">
        <v>548</v>
      </c>
      <c r="J20" s="20" t="s">
        <v>33</v>
      </c>
      <c r="K20" s="24" t="s">
        <v>254</v>
      </c>
      <c r="L20" s="22" t="s">
        <v>245</v>
      </c>
      <c r="M20" s="23" t="s">
        <v>246</v>
      </c>
    </row>
    <row r="21" ht="100.5" customHeight="1">
      <c r="A21" s="20" t="s">
        <v>550</v>
      </c>
      <c r="B21" s="20" t="s">
        <v>286</v>
      </c>
      <c r="C21" s="20" t="s">
        <v>516</v>
      </c>
      <c r="D21" s="20" t="s">
        <v>304</v>
      </c>
      <c r="E21" s="20" t="s">
        <v>532</v>
      </c>
      <c r="F21" s="20" t="s">
        <v>33</v>
      </c>
      <c r="G21" s="20" t="s">
        <v>300</v>
      </c>
      <c r="H21" s="20" t="s">
        <v>555</v>
      </c>
      <c r="I21" s="20" t="s">
        <v>557</v>
      </c>
      <c r="J21" s="20" t="s">
        <v>33</v>
      </c>
      <c r="K21" s="21" t="s">
        <v>244</v>
      </c>
      <c r="L21" s="22" t="s">
        <v>245</v>
      </c>
      <c r="M21" s="23" t="s">
        <v>246</v>
      </c>
    </row>
    <row r="22" ht="87.0" customHeight="1">
      <c r="A22" s="20" t="s">
        <v>561</v>
      </c>
      <c r="B22" s="20" t="s">
        <v>286</v>
      </c>
      <c r="C22" s="20" t="s">
        <v>516</v>
      </c>
      <c r="D22" s="20" t="s">
        <v>248</v>
      </c>
      <c r="E22" s="20" t="s">
        <v>532</v>
      </c>
      <c r="F22" s="20" t="s">
        <v>33</v>
      </c>
      <c r="G22" s="20" t="s">
        <v>565</v>
      </c>
      <c r="H22" s="20" t="s">
        <v>566</v>
      </c>
      <c r="I22" s="20" t="s">
        <v>567</v>
      </c>
      <c r="J22" s="20" t="s">
        <v>33</v>
      </c>
      <c r="K22" s="24" t="s">
        <v>254</v>
      </c>
      <c r="L22" s="22" t="s">
        <v>245</v>
      </c>
      <c r="M22" s="23" t="s">
        <v>246</v>
      </c>
    </row>
    <row r="23" ht="168.0" customHeight="1">
      <c r="A23" s="20" t="s">
        <v>573</v>
      </c>
      <c r="B23" s="20" t="s">
        <v>286</v>
      </c>
      <c r="C23" s="20" t="s">
        <v>574</v>
      </c>
      <c r="D23" s="20" t="s">
        <v>248</v>
      </c>
      <c r="E23" s="20" t="s">
        <v>380</v>
      </c>
      <c r="F23" s="20" t="s">
        <v>33</v>
      </c>
      <c r="G23" s="20" t="s">
        <v>575</v>
      </c>
      <c r="H23" s="20" t="s">
        <v>576</v>
      </c>
      <c r="I23" s="20" t="s">
        <v>578</v>
      </c>
      <c r="J23" s="20" t="s">
        <v>33</v>
      </c>
      <c r="K23" s="21" t="s">
        <v>244</v>
      </c>
      <c r="L23" s="22" t="s">
        <v>245</v>
      </c>
      <c r="M23" s="23" t="s">
        <v>246</v>
      </c>
    </row>
    <row r="24" ht="114.0" customHeight="1">
      <c r="A24" s="20" t="s">
        <v>584</v>
      </c>
      <c r="B24" s="20" t="s">
        <v>286</v>
      </c>
      <c r="C24" s="20" t="s">
        <v>587</v>
      </c>
      <c r="D24" s="20" t="s">
        <v>248</v>
      </c>
      <c r="E24" s="20" t="s">
        <v>380</v>
      </c>
      <c r="F24" s="20" t="s">
        <v>588</v>
      </c>
      <c r="G24" s="20" t="s">
        <v>590</v>
      </c>
      <c r="H24" s="20" t="s">
        <v>592</v>
      </c>
      <c r="I24" s="20" t="s">
        <v>595</v>
      </c>
      <c r="J24" s="20" t="s">
        <v>33</v>
      </c>
      <c r="K24" s="24" t="s">
        <v>254</v>
      </c>
      <c r="L24" s="22" t="s">
        <v>245</v>
      </c>
      <c r="M24" s="23" t="s">
        <v>246</v>
      </c>
    </row>
    <row r="25" ht="100.5" customHeight="1">
      <c r="A25" s="20" t="s">
        <v>598</v>
      </c>
      <c r="B25" s="20" t="s">
        <v>286</v>
      </c>
      <c r="C25" s="20" t="s">
        <v>587</v>
      </c>
      <c r="D25" s="20" t="s">
        <v>304</v>
      </c>
      <c r="E25" s="20" t="s">
        <v>380</v>
      </c>
      <c r="F25" s="20" t="s">
        <v>600</v>
      </c>
      <c r="G25" s="20" t="s">
        <v>603</v>
      </c>
      <c r="H25" s="20" t="s">
        <v>605</v>
      </c>
      <c r="I25" s="20" t="s">
        <v>609</v>
      </c>
      <c r="J25" s="20" t="s">
        <v>33</v>
      </c>
      <c r="K25" s="24" t="s">
        <v>254</v>
      </c>
      <c r="L25" s="22" t="s">
        <v>245</v>
      </c>
      <c r="M25" s="23" t="s">
        <v>246</v>
      </c>
    </row>
    <row r="26" ht="87.0" customHeight="1">
      <c r="A26" s="20" t="s">
        <v>613</v>
      </c>
      <c r="B26" s="20" t="s">
        <v>286</v>
      </c>
      <c r="C26" s="20" t="s">
        <v>614</v>
      </c>
      <c r="D26" s="20" t="s">
        <v>304</v>
      </c>
      <c r="E26" s="20" t="s">
        <v>380</v>
      </c>
      <c r="F26" s="20" t="s">
        <v>615</v>
      </c>
      <c r="G26" s="20" t="s">
        <v>616</v>
      </c>
      <c r="H26" s="20" t="s">
        <v>617</v>
      </c>
      <c r="I26" s="20" t="s">
        <v>618</v>
      </c>
      <c r="J26" s="20" t="s">
        <v>33</v>
      </c>
      <c r="K26" s="24" t="s">
        <v>254</v>
      </c>
      <c r="L26" s="22" t="s">
        <v>245</v>
      </c>
      <c r="M26" s="23" t="s">
        <v>246</v>
      </c>
    </row>
    <row r="27" ht="141.0" customHeight="1">
      <c r="A27" s="20" t="s">
        <v>619</v>
      </c>
      <c r="B27" s="20" t="s">
        <v>286</v>
      </c>
      <c r="C27" s="20" t="s">
        <v>620</v>
      </c>
      <c r="D27" s="20" t="s">
        <v>248</v>
      </c>
      <c r="E27" s="20" t="s">
        <v>380</v>
      </c>
      <c r="F27" s="20" t="s">
        <v>33</v>
      </c>
      <c r="G27" s="20" t="s">
        <v>621</v>
      </c>
      <c r="H27" s="20" t="s">
        <v>622</v>
      </c>
      <c r="I27" s="20" t="s">
        <v>623</v>
      </c>
      <c r="J27" s="20" t="s">
        <v>33</v>
      </c>
      <c r="K27" s="24" t="s">
        <v>254</v>
      </c>
      <c r="L27" s="22" t="s">
        <v>245</v>
      </c>
      <c r="M27" s="23" t="s">
        <v>246</v>
      </c>
    </row>
    <row r="28" ht="100.5" customHeight="1">
      <c r="A28" s="20" t="s">
        <v>624</v>
      </c>
      <c r="B28" s="20" t="s">
        <v>286</v>
      </c>
      <c r="C28" s="20" t="s">
        <v>625</v>
      </c>
      <c r="D28" s="20" t="s">
        <v>248</v>
      </c>
      <c r="E28" s="20" t="s">
        <v>380</v>
      </c>
      <c r="F28" s="20" t="s">
        <v>33</v>
      </c>
      <c r="G28" s="20" t="s">
        <v>626</v>
      </c>
      <c r="H28" s="20" t="s">
        <v>627</v>
      </c>
      <c r="I28" s="20" t="s">
        <v>628</v>
      </c>
      <c r="J28" s="20" t="s">
        <v>33</v>
      </c>
      <c r="K28" s="24" t="s">
        <v>254</v>
      </c>
      <c r="L28" s="22" t="s">
        <v>245</v>
      </c>
      <c r="M28" s="23" t="s">
        <v>246</v>
      </c>
    </row>
    <row r="29" ht="60.0" customHeight="1">
      <c r="A29" s="20" t="s">
        <v>629</v>
      </c>
      <c r="B29" s="20" t="s">
        <v>286</v>
      </c>
      <c r="C29" s="20" t="s">
        <v>630</v>
      </c>
      <c r="D29" s="20" t="s">
        <v>304</v>
      </c>
      <c r="E29" s="20" t="s">
        <v>380</v>
      </c>
      <c r="F29" s="20" t="s">
        <v>632</v>
      </c>
      <c r="G29" s="20" t="s">
        <v>633</v>
      </c>
      <c r="H29" s="20" t="s">
        <v>634</v>
      </c>
      <c r="I29" s="20" t="s">
        <v>635</v>
      </c>
      <c r="J29" s="20" t="s">
        <v>33</v>
      </c>
      <c r="K29" s="21" t="s">
        <v>244</v>
      </c>
      <c r="L29" s="22" t="s">
        <v>245</v>
      </c>
      <c r="M29" s="23" t="s">
        <v>246</v>
      </c>
    </row>
    <row r="30" ht="33.0" customHeight="1">
      <c r="A30" s="20" t="s">
        <v>637</v>
      </c>
      <c r="B30" s="20" t="s">
        <v>286</v>
      </c>
      <c r="C30" s="20" t="s">
        <v>639</v>
      </c>
      <c r="D30" s="20" t="s">
        <v>238</v>
      </c>
      <c r="E30" s="20" t="s">
        <v>640</v>
      </c>
      <c r="F30" s="20" t="s">
        <v>33</v>
      </c>
      <c r="G30" s="20" t="s">
        <v>641</v>
      </c>
      <c r="H30" s="20" t="s">
        <v>642</v>
      </c>
      <c r="I30" s="20" t="s">
        <v>643</v>
      </c>
      <c r="J30" s="20" t="s">
        <v>644</v>
      </c>
      <c r="K30" s="21" t="s">
        <v>244</v>
      </c>
      <c r="L30" s="22" t="s">
        <v>245</v>
      </c>
      <c r="M30" s="23" t="s">
        <v>246</v>
      </c>
    </row>
    <row r="31" ht="60.0" customHeight="1">
      <c r="A31" s="20" t="s">
        <v>646</v>
      </c>
      <c r="B31" s="20" t="s">
        <v>286</v>
      </c>
      <c r="C31" s="20" t="s">
        <v>647</v>
      </c>
      <c r="D31" s="20" t="s">
        <v>238</v>
      </c>
      <c r="E31" s="20" t="s">
        <v>648</v>
      </c>
      <c r="F31" s="20" t="s">
        <v>33</v>
      </c>
      <c r="G31" s="20" t="s">
        <v>649</v>
      </c>
      <c r="H31" s="20" t="s">
        <v>650</v>
      </c>
      <c r="I31" s="20" t="s">
        <v>651</v>
      </c>
      <c r="J31" s="20" t="s">
        <v>652</v>
      </c>
      <c r="K31" s="21" t="s">
        <v>244</v>
      </c>
      <c r="L31" s="22" t="s">
        <v>245</v>
      </c>
      <c r="M31" s="23" t="s">
        <v>246</v>
      </c>
    </row>
    <row r="32" ht="87.0" customHeight="1">
      <c r="A32" s="20" t="s">
        <v>653</v>
      </c>
      <c r="B32" s="20" t="s">
        <v>286</v>
      </c>
      <c r="C32" s="20" t="s">
        <v>484</v>
      </c>
      <c r="D32" s="20" t="s">
        <v>238</v>
      </c>
      <c r="E32" s="20" t="s">
        <v>654</v>
      </c>
      <c r="F32" s="20" t="s">
        <v>57</v>
      </c>
      <c r="G32" s="20" t="s">
        <v>655</v>
      </c>
      <c r="H32" s="20" t="s">
        <v>656</v>
      </c>
      <c r="I32" s="20" t="s">
        <v>657</v>
      </c>
      <c r="J32" s="20" t="s">
        <v>490</v>
      </c>
      <c r="K32" s="21" t="s">
        <v>244</v>
      </c>
      <c r="L32" s="22" t="s">
        <v>245</v>
      </c>
      <c r="M32" s="23" t="s">
        <v>246</v>
      </c>
    </row>
    <row r="33" ht="87.0" customHeight="1">
      <c r="A33" s="20" t="s">
        <v>658</v>
      </c>
      <c r="B33" s="20" t="s">
        <v>286</v>
      </c>
      <c r="C33" s="20" t="s">
        <v>484</v>
      </c>
      <c r="D33" s="20" t="s">
        <v>238</v>
      </c>
      <c r="E33" s="20" t="s">
        <v>659</v>
      </c>
      <c r="F33" s="20" t="s">
        <v>660</v>
      </c>
      <c r="G33" s="20" t="s">
        <v>661</v>
      </c>
      <c r="H33" s="20" t="s">
        <v>662</v>
      </c>
      <c r="I33" s="20" t="s">
        <v>663</v>
      </c>
      <c r="J33" s="20" t="s">
        <v>664</v>
      </c>
      <c r="K33" s="21" t="s">
        <v>244</v>
      </c>
      <c r="L33" s="22" t="s">
        <v>245</v>
      </c>
      <c r="M33" s="23" t="s">
        <v>246</v>
      </c>
    </row>
    <row r="34" ht="60.0" customHeight="1">
      <c r="A34" s="20" t="s">
        <v>665</v>
      </c>
      <c r="B34" s="20" t="s">
        <v>286</v>
      </c>
      <c r="C34" s="20" t="s">
        <v>666</v>
      </c>
      <c r="D34" s="20" t="s">
        <v>304</v>
      </c>
      <c r="E34" s="20" t="s">
        <v>380</v>
      </c>
      <c r="F34" s="20" t="s">
        <v>33</v>
      </c>
      <c r="G34" s="20" t="s">
        <v>668</v>
      </c>
      <c r="H34" s="20" t="s">
        <v>669</v>
      </c>
      <c r="I34" s="20" t="s">
        <v>670</v>
      </c>
      <c r="J34" s="20" t="s">
        <v>33</v>
      </c>
      <c r="K34" s="24" t="s">
        <v>254</v>
      </c>
      <c r="L34" s="22" t="s">
        <v>245</v>
      </c>
      <c r="M34" s="23" t="s">
        <v>246</v>
      </c>
    </row>
    <row r="35" ht="15.75" customHeight="1">
      <c r="A35" s="3"/>
      <c r="B35" s="3"/>
      <c r="C35" s="3"/>
      <c r="D35" s="3"/>
      <c r="E35" s="3"/>
      <c r="F35" s="3"/>
      <c r="G35" s="3"/>
      <c r="H35" s="3"/>
      <c r="I35" s="3"/>
      <c r="J35" s="3"/>
      <c r="K35" s="3"/>
      <c r="L35" s="3"/>
      <c r="M35" s="3"/>
    </row>
    <row r="36" ht="15.75" customHeight="1">
      <c r="A36" s="3"/>
      <c r="B36" s="3"/>
      <c r="C36" s="3"/>
      <c r="D36" s="3"/>
      <c r="E36" s="3"/>
      <c r="F36" s="3"/>
      <c r="G36" s="3"/>
      <c r="H36" s="3"/>
      <c r="I36" s="3"/>
      <c r="J36" s="3"/>
      <c r="K36" s="3"/>
      <c r="L36" s="3"/>
      <c r="M36" s="3"/>
    </row>
    <row r="37" ht="15.75" customHeight="1">
      <c r="A37" s="3"/>
      <c r="B37" s="3"/>
      <c r="C37" s="3"/>
      <c r="D37" s="3"/>
      <c r="E37" s="3"/>
      <c r="F37" s="3"/>
      <c r="G37" s="3"/>
      <c r="H37" s="3"/>
      <c r="I37" s="3"/>
      <c r="J37" s="3"/>
      <c r="K37" s="3"/>
      <c r="L37" s="3"/>
      <c r="M37" s="3"/>
    </row>
    <row r="38" ht="15.75" customHeight="1">
      <c r="A38" s="3"/>
      <c r="B38" s="3"/>
      <c r="C38" s="3"/>
      <c r="D38" s="3"/>
      <c r="E38" s="3"/>
      <c r="F38" s="3"/>
      <c r="G38" s="3"/>
      <c r="H38" s="3"/>
      <c r="I38" s="3"/>
      <c r="J38" s="3"/>
      <c r="K38" s="3"/>
      <c r="L38" s="3"/>
      <c r="M38" s="3"/>
    </row>
    <row r="39" ht="15.75" customHeight="1">
      <c r="A39" s="3"/>
      <c r="B39" s="3"/>
      <c r="C39" s="3"/>
      <c r="D39" s="3"/>
      <c r="E39" s="3"/>
      <c r="F39" s="3"/>
      <c r="G39" s="3"/>
      <c r="H39" s="3"/>
      <c r="I39" s="3"/>
      <c r="J39" s="3"/>
      <c r="K39" s="3"/>
      <c r="L39" s="3"/>
      <c r="M39" s="3"/>
    </row>
    <row r="40" ht="15.75" customHeight="1">
      <c r="A40" s="3"/>
      <c r="B40" s="3"/>
      <c r="C40" s="3"/>
      <c r="D40" s="3"/>
      <c r="E40" s="3"/>
      <c r="F40" s="3"/>
      <c r="G40" s="3"/>
      <c r="H40" s="3"/>
      <c r="I40" s="3"/>
      <c r="J40" s="3"/>
      <c r="K40" s="3"/>
      <c r="L40" s="3"/>
      <c r="M40" s="3"/>
    </row>
    <row r="41" ht="15.75" customHeight="1">
      <c r="A41" s="3"/>
      <c r="B41" s="3"/>
      <c r="C41" s="3"/>
      <c r="D41" s="3"/>
      <c r="E41" s="3"/>
      <c r="F41" s="3"/>
      <c r="G41" s="3"/>
      <c r="H41" s="3"/>
      <c r="I41" s="3"/>
      <c r="J41" s="3"/>
      <c r="K41" s="3"/>
      <c r="L41" s="3"/>
      <c r="M41" s="3"/>
    </row>
    <row r="42" ht="15.75" customHeight="1">
      <c r="A42" s="3"/>
      <c r="B42" s="3"/>
      <c r="C42" s="3"/>
      <c r="D42" s="3"/>
      <c r="E42" s="3"/>
      <c r="F42" s="3"/>
      <c r="G42" s="3"/>
      <c r="H42" s="3"/>
      <c r="I42" s="3"/>
      <c r="J42" s="3"/>
      <c r="K42" s="3"/>
      <c r="L42" s="3"/>
      <c r="M42" s="3"/>
    </row>
    <row r="43" ht="15.75" customHeight="1">
      <c r="A43" s="3"/>
      <c r="B43" s="3"/>
      <c r="C43" s="3"/>
      <c r="D43" s="3"/>
      <c r="E43" s="3"/>
      <c r="F43" s="3"/>
      <c r="G43" s="3"/>
      <c r="H43" s="3"/>
      <c r="I43" s="3"/>
      <c r="J43" s="3"/>
      <c r="K43" s="3"/>
      <c r="L43" s="3"/>
      <c r="M43" s="3"/>
    </row>
    <row r="44" ht="15.75" customHeight="1">
      <c r="A44" s="3"/>
      <c r="B44" s="3"/>
      <c r="C44" s="3"/>
      <c r="D44" s="3"/>
      <c r="E44" s="3"/>
      <c r="F44" s="3"/>
      <c r="G44" s="3"/>
      <c r="H44" s="3"/>
      <c r="I44" s="3"/>
      <c r="J44" s="3"/>
      <c r="K44" s="3"/>
      <c r="L44" s="3"/>
      <c r="M44" s="3"/>
    </row>
    <row r="45" ht="15.75" customHeight="1">
      <c r="A45" s="3"/>
      <c r="B45" s="3"/>
      <c r="C45" s="3"/>
      <c r="D45" s="3"/>
      <c r="E45" s="3"/>
      <c r="F45" s="3"/>
      <c r="G45" s="3"/>
      <c r="H45" s="3"/>
      <c r="I45" s="3"/>
      <c r="J45" s="3"/>
      <c r="K45" s="3"/>
      <c r="L45" s="3"/>
      <c r="M45" s="3"/>
    </row>
    <row r="46" ht="15.75" customHeight="1">
      <c r="A46" s="3"/>
      <c r="B46" s="3"/>
      <c r="C46" s="3"/>
      <c r="D46" s="3"/>
      <c r="E46" s="3"/>
      <c r="F46" s="3"/>
      <c r="G46" s="3"/>
      <c r="H46" s="3"/>
      <c r="I46" s="3"/>
      <c r="J46" s="3"/>
      <c r="K46" s="3"/>
      <c r="L46" s="3"/>
      <c r="M46" s="3"/>
    </row>
    <row r="47" ht="15.75" customHeight="1">
      <c r="A47" s="3"/>
      <c r="B47" s="3"/>
      <c r="C47" s="3"/>
      <c r="D47" s="3"/>
      <c r="E47" s="3"/>
      <c r="F47" s="3"/>
      <c r="G47" s="3"/>
      <c r="H47" s="3"/>
      <c r="I47" s="3"/>
      <c r="J47" s="3"/>
      <c r="K47" s="3"/>
      <c r="L47" s="3"/>
      <c r="M47" s="3"/>
    </row>
    <row r="48" ht="15.75" customHeight="1">
      <c r="A48" s="3"/>
      <c r="B48" s="3"/>
      <c r="C48" s="3"/>
      <c r="D48" s="3"/>
      <c r="E48" s="3"/>
      <c r="F48" s="3"/>
      <c r="G48" s="3"/>
      <c r="H48" s="3"/>
      <c r="I48" s="3"/>
      <c r="J48" s="3"/>
      <c r="K48" s="3"/>
      <c r="L48" s="3"/>
      <c r="M48" s="3"/>
    </row>
    <row r="49" ht="15.75" customHeight="1">
      <c r="A49" s="3"/>
      <c r="B49" s="3"/>
      <c r="C49" s="3"/>
      <c r="D49" s="3"/>
      <c r="E49" s="3"/>
      <c r="F49" s="3"/>
      <c r="G49" s="3"/>
      <c r="H49" s="3"/>
      <c r="I49" s="3"/>
      <c r="J49" s="3"/>
      <c r="K49" s="3"/>
      <c r="L49" s="3"/>
      <c r="M49" s="3"/>
    </row>
    <row r="50" ht="15.75" customHeight="1">
      <c r="A50" s="3"/>
      <c r="B50" s="3"/>
      <c r="C50" s="3"/>
      <c r="D50" s="3"/>
      <c r="E50" s="3"/>
      <c r="F50" s="3"/>
      <c r="G50" s="3"/>
      <c r="H50" s="3"/>
      <c r="I50" s="3"/>
      <c r="J50" s="3"/>
      <c r="K50" s="3"/>
      <c r="L50" s="3"/>
      <c r="M50" s="3"/>
    </row>
    <row r="51" ht="15.75" customHeight="1">
      <c r="A51" s="3"/>
      <c r="B51" s="3"/>
      <c r="C51" s="3"/>
      <c r="D51" s="3"/>
      <c r="E51" s="3"/>
      <c r="F51" s="3"/>
      <c r="G51" s="3"/>
      <c r="H51" s="3"/>
      <c r="I51" s="3"/>
      <c r="J51" s="3"/>
      <c r="K51" s="3"/>
      <c r="L51" s="3"/>
      <c r="M51" s="3"/>
    </row>
    <row r="52" ht="15.75" customHeight="1">
      <c r="A52" s="3"/>
      <c r="B52" s="3"/>
      <c r="C52" s="3"/>
      <c r="D52" s="3"/>
      <c r="E52" s="3"/>
      <c r="F52" s="3"/>
      <c r="G52" s="3"/>
      <c r="H52" s="3"/>
      <c r="I52" s="3"/>
      <c r="J52" s="3"/>
      <c r="K52" s="3"/>
      <c r="L52" s="3"/>
      <c r="M52" s="3"/>
    </row>
    <row r="53" ht="15.75" customHeight="1">
      <c r="A53" s="3"/>
      <c r="B53" s="3"/>
      <c r="C53" s="3"/>
      <c r="D53" s="3"/>
      <c r="E53" s="3"/>
      <c r="F53" s="3"/>
      <c r="G53" s="3"/>
      <c r="H53" s="3"/>
      <c r="I53" s="3"/>
      <c r="J53" s="3"/>
      <c r="K53" s="3"/>
      <c r="L53" s="3"/>
      <c r="M53" s="3"/>
    </row>
    <row r="54" ht="15.75" customHeight="1">
      <c r="A54" s="3"/>
      <c r="B54" s="3"/>
      <c r="C54" s="3"/>
      <c r="D54" s="3"/>
      <c r="E54" s="3"/>
      <c r="F54" s="3"/>
      <c r="G54" s="3"/>
      <c r="H54" s="3"/>
      <c r="I54" s="3"/>
      <c r="J54" s="3"/>
      <c r="K54" s="3"/>
      <c r="L54" s="3"/>
      <c r="M54" s="3"/>
    </row>
    <row r="55" ht="15.75" customHeight="1">
      <c r="A55" s="3"/>
      <c r="B55" s="3"/>
      <c r="C55" s="3"/>
      <c r="D55" s="3"/>
      <c r="E55" s="3"/>
      <c r="F55" s="3"/>
      <c r="G55" s="3"/>
      <c r="H55" s="3"/>
      <c r="I55" s="3"/>
      <c r="J55" s="3"/>
      <c r="K55" s="3"/>
      <c r="L55" s="3"/>
      <c r="M55" s="3"/>
    </row>
    <row r="56" ht="15.75" customHeight="1">
      <c r="A56" s="3"/>
      <c r="B56" s="3"/>
      <c r="C56" s="3"/>
      <c r="D56" s="3"/>
      <c r="E56" s="3"/>
      <c r="F56" s="3"/>
      <c r="G56" s="3"/>
      <c r="H56" s="3"/>
      <c r="I56" s="3"/>
      <c r="J56" s="3"/>
      <c r="K56" s="3"/>
      <c r="L56" s="3"/>
      <c r="M56" s="3"/>
    </row>
    <row r="57" ht="15.75" customHeight="1">
      <c r="A57" s="3"/>
      <c r="B57" s="3"/>
      <c r="C57" s="3"/>
      <c r="D57" s="3"/>
      <c r="E57" s="3"/>
      <c r="F57" s="3"/>
      <c r="G57" s="3"/>
      <c r="H57" s="3"/>
      <c r="I57" s="3"/>
      <c r="J57" s="3"/>
      <c r="K57" s="3"/>
      <c r="L57" s="3"/>
      <c r="M57" s="3"/>
    </row>
    <row r="58" ht="15.75" customHeight="1">
      <c r="A58" s="3"/>
      <c r="B58" s="3"/>
      <c r="C58" s="3"/>
      <c r="D58" s="3"/>
      <c r="E58" s="3"/>
      <c r="F58" s="3"/>
      <c r="G58" s="3"/>
      <c r="H58" s="3"/>
      <c r="I58" s="3"/>
      <c r="J58" s="3"/>
      <c r="K58" s="3"/>
      <c r="L58" s="3"/>
      <c r="M58" s="3"/>
    </row>
    <row r="59" ht="15.75" customHeight="1">
      <c r="A59" s="3"/>
      <c r="B59" s="3"/>
      <c r="C59" s="3"/>
      <c r="D59" s="3"/>
      <c r="E59" s="3"/>
      <c r="F59" s="3"/>
      <c r="G59" s="3"/>
      <c r="H59" s="3"/>
      <c r="I59" s="3"/>
      <c r="J59" s="3"/>
      <c r="K59" s="3"/>
      <c r="L59" s="3"/>
      <c r="M59" s="3"/>
    </row>
    <row r="60" ht="15.75" customHeight="1">
      <c r="A60" s="3"/>
      <c r="B60" s="3"/>
      <c r="C60" s="3"/>
      <c r="D60" s="3"/>
      <c r="E60" s="3"/>
      <c r="F60" s="3"/>
      <c r="G60" s="3"/>
      <c r="H60" s="3"/>
      <c r="I60" s="3"/>
      <c r="J60" s="3"/>
      <c r="K60" s="3"/>
      <c r="L60" s="3"/>
      <c r="M60" s="3"/>
    </row>
    <row r="61" ht="15.75" customHeight="1">
      <c r="A61" s="3"/>
      <c r="B61" s="3"/>
      <c r="C61" s="3"/>
      <c r="D61" s="3"/>
      <c r="E61" s="3"/>
      <c r="F61" s="3"/>
      <c r="G61" s="3"/>
      <c r="H61" s="3"/>
      <c r="I61" s="3"/>
      <c r="J61" s="3"/>
      <c r="K61" s="3"/>
      <c r="L61" s="3"/>
      <c r="M61" s="3"/>
    </row>
    <row r="62" ht="15.75" customHeight="1">
      <c r="A62" s="3"/>
      <c r="B62" s="3"/>
      <c r="C62" s="3"/>
      <c r="D62" s="3"/>
      <c r="E62" s="3"/>
      <c r="F62" s="3"/>
      <c r="G62" s="3"/>
      <c r="H62" s="3"/>
      <c r="I62" s="3"/>
      <c r="J62" s="3"/>
      <c r="K62" s="3"/>
      <c r="L62" s="3"/>
      <c r="M62" s="3"/>
    </row>
    <row r="63" ht="15.75" customHeight="1">
      <c r="A63" s="3"/>
      <c r="B63" s="3"/>
      <c r="C63" s="3"/>
      <c r="D63" s="3"/>
      <c r="E63" s="3"/>
      <c r="F63" s="3"/>
      <c r="G63" s="3"/>
      <c r="H63" s="3"/>
      <c r="I63" s="3"/>
      <c r="J63" s="3"/>
      <c r="K63" s="3"/>
      <c r="L63" s="3"/>
      <c r="M63" s="3"/>
    </row>
    <row r="64" ht="15.75" customHeight="1">
      <c r="A64" s="3"/>
      <c r="B64" s="3"/>
      <c r="C64" s="3"/>
      <c r="D64" s="3"/>
      <c r="E64" s="3"/>
      <c r="F64" s="3"/>
      <c r="G64" s="3"/>
      <c r="H64" s="3"/>
      <c r="I64" s="3"/>
      <c r="J64" s="3"/>
      <c r="K64" s="3"/>
      <c r="L64" s="3"/>
      <c r="M64" s="3"/>
    </row>
    <row r="65" ht="15.75" customHeight="1">
      <c r="A65" s="3"/>
      <c r="B65" s="3"/>
      <c r="C65" s="3"/>
      <c r="D65" s="3"/>
      <c r="E65" s="3"/>
      <c r="F65" s="3"/>
      <c r="G65" s="3"/>
      <c r="H65" s="3"/>
      <c r="I65" s="3"/>
      <c r="J65" s="3"/>
      <c r="K65" s="3"/>
      <c r="L65" s="3"/>
      <c r="M65" s="3"/>
    </row>
    <row r="66" ht="15.75" customHeight="1">
      <c r="A66" s="3"/>
      <c r="B66" s="3"/>
      <c r="C66" s="3"/>
      <c r="D66" s="3"/>
      <c r="E66" s="3"/>
      <c r="F66" s="3"/>
      <c r="G66" s="3"/>
      <c r="H66" s="3"/>
      <c r="I66" s="3"/>
      <c r="J66" s="3"/>
      <c r="K66" s="3"/>
      <c r="L66" s="3"/>
      <c r="M66" s="3"/>
    </row>
    <row r="67" ht="15.75" customHeight="1">
      <c r="A67" s="3"/>
      <c r="B67" s="3"/>
      <c r="C67" s="3"/>
      <c r="D67" s="3"/>
      <c r="E67" s="3"/>
      <c r="F67" s="3"/>
      <c r="G67" s="3"/>
      <c r="H67" s="3"/>
      <c r="I67" s="3"/>
      <c r="J67" s="3"/>
      <c r="K67" s="3"/>
      <c r="L67" s="3"/>
      <c r="M67" s="3"/>
    </row>
    <row r="68" ht="15.75" customHeight="1">
      <c r="A68" s="3"/>
      <c r="B68" s="3"/>
      <c r="C68" s="3"/>
      <c r="D68" s="3"/>
      <c r="E68" s="3"/>
      <c r="F68" s="3"/>
      <c r="G68" s="3"/>
      <c r="H68" s="3"/>
      <c r="I68" s="3"/>
      <c r="J68" s="3"/>
      <c r="K68" s="3"/>
      <c r="L68" s="3"/>
      <c r="M68" s="3"/>
    </row>
    <row r="69" ht="15.75" customHeight="1">
      <c r="A69" s="3"/>
      <c r="B69" s="3"/>
      <c r="C69" s="3"/>
      <c r="D69" s="3"/>
      <c r="E69" s="3"/>
      <c r="F69" s="3"/>
      <c r="G69" s="3"/>
      <c r="H69" s="3"/>
      <c r="I69" s="3"/>
      <c r="J69" s="3"/>
      <c r="K69" s="3"/>
      <c r="L69" s="3"/>
      <c r="M69" s="3"/>
    </row>
    <row r="70" ht="15.75" customHeight="1">
      <c r="A70" s="3"/>
      <c r="B70" s="3"/>
      <c r="C70" s="3"/>
      <c r="D70" s="3"/>
      <c r="E70" s="3"/>
      <c r="F70" s="3"/>
      <c r="G70" s="3"/>
      <c r="H70" s="3"/>
      <c r="I70" s="3"/>
      <c r="J70" s="3"/>
      <c r="K70" s="3"/>
      <c r="L70" s="3"/>
      <c r="M70" s="3"/>
    </row>
    <row r="71" ht="15.75" customHeight="1">
      <c r="A71" s="3"/>
      <c r="B71" s="3"/>
      <c r="C71" s="3"/>
      <c r="D71" s="3"/>
      <c r="E71" s="3"/>
      <c r="F71" s="3"/>
      <c r="G71" s="3"/>
      <c r="H71" s="3"/>
      <c r="I71" s="3"/>
      <c r="J71" s="3"/>
      <c r="K71" s="3"/>
      <c r="L71" s="3"/>
      <c r="M71" s="3"/>
    </row>
    <row r="72" ht="15.75" customHeight="1">
      <c r="A72" s="3"/>
      <c r="B72" s="3"/>
      <c r="C72" s="3"/>
      <c r="D72" s="3"/>
      <c r="E72" s="3"/>
      <c r="F72" s="3"/>
      <c r="G72" s="3"/>
      <c r="H72" s="3"/>
      <c r="I72" s="3"/>
      <c r="J72" s="3"/>
      <c r="K72" s="3"/>
      <c r="L72" s="3"/>
      <c r="M72" s="3"/>
    </row>
    <row r="73" ht="15.75" customHeight="1">
      <c r="A73" s="3"/>
      <c r="B73" s="3"/>
      <c r="C73" s="3"/>
      <c r="D73" s="3"/>
      <c r="E73" s="3"/>
      <c r="F73" s="3"/>
      <c r="G73" s="3"/>
      <c r="H73" s="3"/>
      <c r="I73" s="3"/>
      <c r="J73" s="3"/>
      <c r="K73" s="3"/>
      <c r="L73" s="3"/>
      <c r="M73" s="3"/>
    </row>
    <row r="74" ht="15.75" customHeight="1">
      <c r="A74" s="3"/>
      <c r="B74" s="3"/>
      <c r="C74" s="3"/>
      <c r="D74" s="3"/>
      <c r="E74" s="3"/>
      <c r="F74" s="3"/>
      <c r="G74" s="3"/>
      <c r="H74" s="3"/>
      <c r="I74" s="3"/>
      <c r="J74" s="3"/>
      <c r="K74" s="3"/>
      <c r="L74" s="3"/>
      <c r="M74" s="3"/>
    </row>
    <row r="75" ht="15.75" customHeight="1">
      <c r="A75" s="3"/>
      <c r="B75" s="3"/>
      <c r="C75" s="3"/>
      <c r="D75" s="3"/>
      <c r="E75" s="3"/>
      <c r="F75" s="3"/>
      <c r="G75" s="3"/>
      <c r="H75" s="3"/>
      <c r="I75" s="3"/>
      <c r="J75" s="3"/>
      <c r="K75" s="3"/>
      <c r="L75" s="3"/>
      <c r="M75" s="3"/>
    </row>
    <row r="76" ht="15.75" customHeight="1">
      <c r="A76" s="3"/>
      <c r="B76" s="3"/>
      <c r="C76" s="3"/>
      <c r="D76" s="3"/>
      <c r="E76" s="3"/>
      <c r="F76" s="3"/>
      <c r="G76" s="3"/>
      <c r="H76" s="3"/>
      <c r="I76" s="3"/>
      <c r="J76" s="3"/>
      <c r="K76" s="3"/>
      <c r="L76" s="3"/>
      <c r="M76" s="3"/>
    </row>
    <row r="77" ht="15.75" customHeight="1">
      <c r="A77" s="3"/>
      <c r="B77" s="3"/>
      <c r="C77" s="3"/>
      <c r="D77" s="3"/>
      <c r="E77" s="3"/>
      <c r="F77" s="3"/>
      <c r="G77" s="3"/>
      <c r="H77" s="3"/>
      <c r="I77" s="3"/>
      <c r="J77" s="3"/>
      <c r="K77" s="3"/>
      <c r="L77" s="3"/>
      <c r="M77" s="3"/>
    </row>
    <row r="78" ht="15.75" customHeight="1">
      <c r="A78" s="3"/>
      <c r="B78" s="3"/>
      <c r="C78" s="3"/>
      <c r="D78" s="3"/>
      <c r="E78" s="3"/>
      <c r="F78" s="3"/>
      <c r="G78" s="3"/>
      <c r="H78" s="3"/>
      <c r="I78" s="3"/>
      <c r="J78" s="3"/>
      <c r="K78" s="3"/>
      <c r="L78" s="3"/>
      <c r="M78" s="3"/>
    </row>
    <row r="79" ht="15.75" customHeight="1">
      <c r="A79" s="3"/>
      <c r="B79" s="3"/>
      <c r="C79" s="3"/>
      <c r="D79" s="3"/>
      <c r="E79" s="3"/>
      <c r="F79" s="3"/>
      <c r="G79" s="3"/>
      <c r="H79" s="3"/>
      <c r="I79" s="3"/>
      <c r="J79" s="3"/>
      <c r="K79" s="3"/>
      <c r="L79" s="3"/>
      <c r="M79" s="3"/>
    </row>
    <row r="80" ht="15.75" customHeight="1">
      <c r="A80" s="3"/>
      <c r="B80" s="3"/>
      <c r="C80" s="3"/>
      <c r="D80" s="3"/>
      <c r="E80" s="3"/>
      <c r="F80" s="3"/>
      <c r="G80" s="3"/>
      <c r="H80" s="3"/>
      <c r="I80" s="3"/>
      <c r="J80" s="3"/>
      <c r="K80" s="3"/>
      <c r="L80" s="3"/>
      <c r="M80" s="3"/>
    </row>
    <row r="81" ht="15.75" customHeight="1">
      <c r="A81" s="3"/>
      <c r="B81" s="3"/>
      <c r="C81" s="3"/>
      <c r="D81" s="3"/>
      <c r="E81" s="3"/>
      <c r="F81" s="3"/>
      <c r="G81" s="3"/>
      <c r="H81" s="3"/>
      <c r="I81" s="3"/>
      <c r="J81" s="3"/>
      <c r="K81" s="3"/>
      <c r="L81" s="3"/>
      <c r="M81" s="3"/>
    </row>
    <row r="82" ht="15.75" customHeight="1">
      <c r="A82" s="3"/>
      <c r="B82" s="3"/>
      <c r="C82" s="3"/>
      <c r="D82" s="3"/>
      <c r="E82" s="3"/>
      <c r="F82" s="3"/>
      <c r="G82" s="3"/>
      <c r="H82" s="3"/>
      <c r="I82" s="3"/>
      <c r="J82" s="3"/>
      <c r="K82" s="3"/>
      <c r="L82" s="3"/>
      <c r="M82" s="3"/>
    </row>
    <row r="83" ht="15.75" customHeight="1">
      <c r="A83" s="3"/>
      <c r="B83" s="3"/>
      <c r="C83" s="3"/>
      <c r="D83" s="3"/>
      <c r="E83" s="3"/>
      <c r="F83" s="3"/>
      <c r="G83" s="3"/>
      <c r="H83" s="3"/>
      <c r="I83" s="3"/>
      <c r="J83" s="3"/>
      <c r="K83" s="3"/>
      <c r="L83" s="3"/>
      <c r="M83" s="3"/>
    </row>
    <row r="84" ht="15.75" customHeight="1">
      <c r="A84" s="3"/>
      <c r="B84" s="3"/>
      <c r="C84" s="3"/>
      <c r="D84" s="3"/>
      <c r="E84" s="3"/>
      <c r="F84" s="3"/>
      <c r="G84" s="3"/>
      <c r="H84" s="3"/>
      <c r="I84" s="3"/>
      <c r="J84" s="3"/>
      <c r="K84" s="3"/>
      <c r="L84" s="3"/>
      <c r="M84" s="3"/>
    </row>
    <row r="85" ht="15.75" customHeight="1">
      <c r="A85" s="3"/>
      <c r="B85" s="3"/>
      <c r="C85" s="3"/>
      <c r="D85" s="3"/>
      <c r="E85" s="3"/>
      <c r="F85" s="3"/>
      <c r="G85" s="3"/>
      <c r="H85" s="3"/>
      <c r="I85" s="3"/>
      <c r="J85" s="3"/>
      <c r="K85" s="3"/>
      <c r="L85" s="3"/>
      <c r="M85" s="3"/>
    </row>
    <row r="86" ht="15.75" customHeight="1">
      <c r="A86" s="3"/>
      <c r="B86" s="3"/>
      <c r="C86" s="3"/>
      <c r="D86" s="3"/>
      <c r="E86" s="3"/>
      <c r="F86" s="3"/>
      <c r="G86" s="3"/>
      <c r="H86" s="3"/>
      <c r="I86" s="3"/>
      <c r="J86" s="3"/>
      <c r="K86" s="3"/>
      <c r="L86" s="3"/>
      <c r="M86" s="3"/>
    </row>
    <row r="87" ht="15.75" customHeight="1">
      <c r="A87" s="3"/>
      <c r="B87" s="3"/>
      <c r="C87" s="3"/>
      <c r="D87" s="3"/>
      <c r="E87" s="3"/>
      <c r="F87" s="3"/>
      <c r="G87" s="3"/>
      <c r="H87" s="3"/>
      <c r="I87" s="3"/>
      <c r="J87" s="3"/>
      <c r="K87" s="3"/>
      <c r="L87" s="3"/>
      <c r="M87" s="3"/>
    </row>
    <row r="88" ht="15.75" customHeight="1">
      <c r="A88" s="3"/>
      <c r="B88" s="3"/>
      <c r="C88" s="3"/>
      <c r="D88" s="3"/>
      <c r="E88" s="3"/>
      <c r="F88" s="3"/>
      <c r="G88" s="3"/>
      <c r="H88" s="3"/>
      <c r="I88" s="3"/>
      <c r="J88" s="3"/>
      <c r="K88" s="3"/>
      <c r="L88" s="3"/>
      <c r="M88" s="3"/>
    </row>
    <row r="89" ht="15.75" customHeight="1">
      <c r="A89" s="3"/>
      <c r="B89" s="3"/>
      <c r="C89" s="3"/>
      <c r="D89" s="3"/>
      <c r="E89" s="3"/>
      <c r="F89" s="3"/>
      <c r="G89" s="3"/>
      <c r="H89" s="3"/>
      <c r="I89" s="3"/>
      <c r="J89" s="3"/>
      <c r="K89" s="3"/>
      <c r="L89" s="3"/>
      <c r="M89" s="3"/>
    </row>
    <row r="90" ht="15.75" customHeight="1">
      <c r="A90" s="3"/>
      <c r="B90" s="3"/>
      <c r="C90" s="3"/>
      <c r="D90" s="3"/>
      <c r="E90" s="3"/>
      <c r="F90" s="3"/>
      <c r="G90" s="3"/>
      <c r="H90" s="3"/>
      <c r="I90" s="3"/>
      <c r="J90" s="3"/>
      <c r="K90" s="3"/>
      <c r="L90" s="3"/>
      <c r="M90" s="3"/>
    </row>
    <row r="91" ht="15.75" customHeight="1">
      <c r="A91" s="3"/>
      <c r="B91" s="3"/>
      <c r="C91" s="3"/>
      <c r="D91" s="3"/>
      <c r="E91" s="3"/>
      <c r="F91" s="3"/>
      <c r="G91" s="3"/>
      <c r="H91" s="3"/>
      <c r="I91" s="3"/>
      <c r="J91" s="3"/>
      <c r="K91" s="3"/>
      <c r="L91" s="3"/>
      <c r="M91" s="3"/>
    </row>
    <row r="92" ht="15.75" customHeight="1">
      <c r="A92" s="3"/>
      <c r="B92" s="3"/>
      <c r="C92" s="3"/>
      <c r="D92" s="3"/>
      <c r="E92" s="3"/>
      <c r="F92" s="3"/>
      <c r="G92" s="3"/>
      <c r="H92" s="3"/>
      <c r="I92" s="3"/>
      <c r="J92" s="3"/>
      <c r="K92" s="3"/>
      <c r="L92" s="3"/>
      <c r="M92" s="3"/>
    </row>
    <row r="93" ht="15.75" customHeight="1">
      <c r="A93" s="3"/>
      <c r="B93" s="3"/>
      <c r="C93" s="3"/>
      <c r="D93" s="3"/>
      <c r="E93" s="3"/>
      <c r="F93" s="3"/>
      <c r="G93" s="3"/>
      <c r="H93" s="3"/>
      <c r="I93" s="3"/>
      <c r="J93" s="3"/>
      <c r="K93" s="3"/>
      <c r="L93" s="3"/>
      <c r="M93" s="3"/>
    </row>
    <row r="94" ht="15.75" customHeight="1">
      <c r="A94" s="3"/>
      <c r="B94" s="3"/>
      <c r="C94" s="3"/>
      <c r="D94" s="3"/>
      <c r="E94" s="3"/>
      <c r="F94" s="3"/>
      <c r="G94" s="3"/>
      <c r="H94" s="3"/>
      <c r="I94" s="3"/>
      <c r="J94" s="3"/>
      <c r="K94" s="3"/>
      <c r="L94" s="3"/>
      <c r="M94" s="3"/>
    </row>
    <row r="95" ht="15.75" customHeight="1">
      <c r="A95" s="3"/>
      <c r="B95" s="3"/>
      <c r="C95" s="3"/>
      <c r="D95" s="3"/>
      <c r="E95" s="3"/>
      <c r="F95" s="3"/>
      <c r="G95" s="3"/>
      <c r="H95" s="3"/>
      <c r="I95" s="3"/>
      <c r="J95" s="3"/>
      <c r="K95" s="3"/>
      <c r="L95" s="3"/>
      <c r="M95" s="3"/>
    </row>
    <row r="96" ht="15.75" customHeight="1">
      <c r="A96" s="3"/>
      <c r="B96" s="3"/>
      <c r="C96" s="3"/>
      <c r="D96" s="3"/>
      <c r="E96" s="3"/>
      <c r="F96" s="3"/>
      <c r="G96" s="3"/>
      <c r="H96" s="3"/>
      <c r="I96" s="3"/>
      <c r="J96" s="3"/>
      <c r="K96" s="3"/>
      <c r="L96" s="3"/>
      <c r="M96" s="3"/>
    </row>
    <row r="97" ht="15.75" customHeight="1">
      <c r="A97" s="3"/>
      <c r="B97" s="3"/>
      <c r="C97" s="3"/>
      <c r="D97" s="3"/>
      <c r="E97" s="3"/>
      <c r="F97" s="3"/>
      <c r="G97" s="3"/>
      <c r="H97" s="3"/>
      <c r="I97" s="3"/>
      <c r="J97" s="3"/>
      <c r="K97" s="3"/>
      <c r="L97" s="3"/>
      <c r="M97" s="3"/>
    </row>
    <row r="98" ht="15.75" customHeight="1">
      <c r="A98" s="3"/>
      <c r="B98" s="3"/>
      <c r="C98" s="3"/>
      <c r="D98" s="3"/>
      <c r="E98" s="3"/>
      <c r="F98" s="3"/>
      <c r="G98" s="3"/>
      <c r="H98" s="3"/>
      <c r="I98" s="3"/>
      <c r="J98" s="3"/>
      <c r="K98" s="3"/>
      <c r="L98" s="3"/>
      <c r="M98" s="3"/>
    </row>
    <row r="99" ht="15.75" customHeight="1">
      <c r="A99" s="3"/>
      <c r="B99" s="3"/>
      <c r="C99" s="3"/>
      <c r="D99" s="3"/>
      <c r="E99" s="3"/>
      <c r="F99" s="3"/>
      <c r="G99" s="3"/>
      <c r="H99" s="3"/>
      <c r="I99" s="3"/>
      <c r="J99" s="3"/>
      <c r="K99" s="3"/>
      <c r="L99" s="3"/>
      <c r="M99" s="3"/>
    </row>
    <row r="100" ht="15.75" customHeight="1">
      <c r="A100" s="3"/>
      <c r="B100" s="3"/>
      <c r="C100" s="3"/>
      <c r="D100" s="3"/>
      <c r="E100" s="3"/>
      <c r="F100" s="3"/>
      <c r="G100" s="3"/>
      <c r="H100" s="3"/>
      <c r="I100" s="3"/>
      <c r="J100" s="3"/>
      <c r="K100" s="3"/>
      <c r="L100" s="3"/>
      <c r="M100" s="3"/>
    </row>
    <row r="101" ht="15.75" customHeight="1">
      <c r="A101" s="3"/>
      <c r="B101" s="3"/>
      <c r="C101" s="3"/>
      <c r="D101" s="3"/>
      <c r="E101" s="3"/>
      <c r="F101" s="3"/>
      <c r="G101" s="3"/>
      <c r="H101" s="3"/>
      <c r="I101" s="3"/>
      <c r="J101" s="3"/>
      <c r="K101" s="3"/>
      <c r="L101" s="3"/>
      <c r="M101" s="3"/>
    </row>
    <row r="102" ht="15.75" customHeight="1">
      <c r="A102" s="3"/>
      <c r="B102" s="3"/>
      <c r="C102" s="3"/>
      <c r="D102" s="3"/>
      <c r="E102" s="3"/>
      <c r="F102" s="3"/>
      <c r="G102" s="3"/>
      <c r="H102" s="3"/>
      <c r="I102" s="3"/>
      <c r="J102" s="3"/>
      <c r="K102" s="3"/>
      <c r="L102" s="3"/>
      <c r="M102" s="3"/>
    </row>
    <row r="103" ht="15.75" customHeight="1">
      <c r="A103" s="3"/>
      <c r="B103" s="3"/>
      <c r="C103" s="3"/>
      <c r="D103" s="3"/>
      <c r="E103" s="3"/>
      <c r="F103" s="3"/>
      <c r="G103" s="3"/>
      <c r="H103" s="3"/>
      <c r="I103" s="3"/>
      <c r="J103" s="3"/>
      <c r="K103" s="3"/>
      <c r="L103" s="3"/>
      <c r="M103" s="3"/>
    </row>
    <row r="104" ht="15.75" customHeight="1">
      <c r="A104" s="3"/>
      <c r="B104" s="3"/>
      <c r="C104" s="3"/>
      <c r="D104" s="3"/>
      <c r="E104" s="3"/>
      <c r="F104" s="3"/>
      <c r="G104" s="3"/>
      <c r="H104" s="3"/>
      <c r="I104" s="3"/>
      <c r="J104" s="3"/>
      <c r="K104" s="3"/>
      <c r="L104" s="3"/>
      <c r="M104" s="3"/>
    </row>
    <row r="105" ht="15.75" customHeight="1">
      <c r="A105" s="3"/>
      <c r="B105" s="3"/>
      <c r="C105" s="3"/>
      <c r="D105" s="3"/>
      <c r="E105" s="3"/>
      <c r="F105" s="3"/>
      <c r="G105" s="3"/>
      <c r="H105" s="3"/>
      <c r="I105" s="3"/>
      <c r="J105" s="3"/>
      <c r="K105" s="3"/>
      <c r="L105" s="3"/>
      <c r="M105" s="3"/>
    </row>
    <row r="106" ht="15.75" customHeight="1">
      <c r="A106" s="3"/>
      <c r="B106" s="3"/>
      <c r="C106" s="3"/>
      <c r="D106" s="3"/>
      <c r="E106" s="3"/>
      <c r="F106" s="3"/>
      <c r="G106" s="3"/>
      <c r="H106" s="3"/>
      <c r="I106" s="3"/>
      <c r="J106" s="3"/>
      <c r="K106" s="3"/>
      <c r="L106" s="3"/>
      <c r="M106" s="3"/>
    </row>
    <row r="107" ht="15.75" customHeight="1">
      <c r="A107" s="3"/>
      <c r="B107" s="3"/>
      <c r="C107" s="3"/>
      <c r="D107" s="3"/>
      <c r="E107" s="3"/>
      <c r="F107" s="3"/>
      <c r="G107" s="3"/>
      <c r="H107" s="3"/>
      <c r="I107" s="3"/>
      <c r="J107" s="3"/>
      <c r="K107" s="3"/>
      <c r="L107" s="3"/>
      <c r="M107" s="3"/>
    </row>
    <row r="108" ht="15.75" customHeight="1">
      <c r="A108" s="3"/>
      <c r="B108" s="3"/>
      <c r="C108" s="3"/>
      <c r="D108" s="3"/>
      <c r="E108" s="3"/>
      <c r="F108" s="3"/>
      <c r="G108" s="3"/>
      <c r="H108" s="3"/>
      <c r="I108" s="3"/>
      <c r="J108" s="3"/>
      <c r="K108" s="3"/>
      <c r="L108" s="3"/>
      <c r="M108" s="3"/>
    </row>
    <row r="109" ht="15.75" customHeight="1">
      <c r="A109" s="3"/>
      <c r="B109" s="3"/>
      <c r="C109" s="3"/>
      <c r="D109" s="3"/>
      <c r="E109" s="3"/>
      <c r="F109" s="3"/>
      <c r="G109" s="3"/>
      <c r="H109" s="3"/>
      <c r="I109" s="3"/>
      <c r="J109" s="3"/>
      <c r="K109" s="3"/>
      <c r="L109" s="3"/>
      <c r="M109" s="3"/>
    </row>
    <row r="110" ht="15.75" customHeight="1">
      <c r="A110" s="3"/>
      <c r="B110" s="3"/>
      <c r="C110" s="3"/>
      <c r="D110" s="3"/>
      <c r="E110" s="3"/>
      <c r="F110" s="3"/>
      <c r="G110" s="3"/>
      <c r="H110" s="3"/>
      <c r="I110" s="3"/>
      <c r="J110" s="3"/>
      <c r="K110" s="3"/>
      <c r="L110" s="3"/>
      <c r="M110" s="3"/>
    </row>
    <row r="111" ht="15.75" customHeight="1">
      <c r="A111" s="3"/>
      <c r="B111" s="3"/>
      <c r="C111" s="3"/>
      <c r="D111" s="3"/>
      <c r="E111" s="3"/>
      <c r="F111" s="3"/>
      <c r="G111" s="3"/>
      <c r="H111" s="3"/>
      <c r="I111" s="3"/>
      <c r="J111" s="3"/>
      <c r="K111" s="3"/>
      <c r="L111" s="3"/>
      <c r="M111" s="3"/>
    </row>
    <row r="112" ht="15.75" customHeight="1">
      <c r="A112" s="3"/>
      <c r="B112" s="3"/>
      <c r="C112" s="3"/>
      <c r="D112" s="3"/>
      <c r="E112" s="3"/>
      <c r="F112" s="3"/>
      <c r="G112" s="3"/>
      <c r="H112" s="3"/>
      <c r="I112" s="3"/>
      <c r="J112" s="3"/>
      <c r="K112" s="3"/>
      <c r="L112" s="3"/>
      <c r="M112" s="3"/>
    </row>
    <row r="113" ht="15.75" customHeight="1">
      <c r="A113" s="3"/>
      <c r="B113" s="3"/>
      <c r="C113" s="3"/>
      <c r="D113" s="3"/>
      <c r="E113" s="3"/>
      <c r="F113" s="3"/>
      <c r="G113" s="3"/>
      <c r="H113" s="3"/>
      <c r="I113" s="3"/>
      <c r="J113" s="3"/>
      <c r="K113" s="3"/>
      <c r="L113" s="3"/>
      <c r="M113" s="3"/>
    </row>
    <row r="114" ht="15.75" customHeight="1">
      <c r="A114" s="3"/>
      <c r="B114" s="3"/>
      <c r="C114" s="3"/>
      <c r="D114" s="3"/>
      <c r="E114" s="3"/>
      <c r="F114" s="3"/>
      <c r="G114" s="3"/>
      <c r="H114" s="3"/>
      <c r="I114" s="3"/>
      <c r="J114" s="3"/>
      <c r="K114" s="3"/>
      <c r="L114" s="3"/>
      <c r="M114" s="3"/>
    </row>
    <row r="115" ht="15.75" customHeight="1">
      <c r="A115" s="3"/>
      <c r="B115" s="3"/>
      <c r="C115" s="3"/>
      <c r="D115" s="3"/>
      <c r="E115" s="3"/>
      <c r="F115" s="3"/>
      <c r="G115" s="3"/>
      <c r="H115" s="3"/>
      <c r="I115" s="3"/>
      <c r="J115" s="3"/>
      <c r="K115" s="3"/>
      <c r="L115" s="3"/>
      <c r="M115" s="3"/>
    </row>
    <row r="116" ht="15.75" customHeight="1">
      <c r="A116" s="3"/>
      <c r="B116" s="3"/>
      <c r="C116" s="3"/>
      <c r="D116" s="3"/>
      <c r="E116" s="3"/>
      <c r="F116" s="3"/>
      <c r="G116" s="3"/>
      <c r="H116" s="3"/>
      <c r="I116" s="3"/>
      <c r="J116" s="3"/>
      <c r="K116" s="3"/>
      <c r="L116" s="3"/>
      <c r="M116" s="3"/>
    </row>
    <row r="117" ht="15.75" customHeight="1">
      <c r="A117" s="3"/>
      <c r="B117" s="3"/>
      <c r="C117" s="3"/>
      <c r="D117" s="3"/>
      <c r="E117" s="3"/>
      <c r="F117" s="3"/>
      <c r="G117" s="3"/>
      <c r="H117" s="3"/>
      <c r="I117" s="3"/>
      <c r="J117" s="3"/>
      <c r="K117" s="3"/>
      <c r="L117" s="3"/>
      <c r="M117" s="3"/>
    </row>
    <row r="118" ht="15.75" customHeight="1">
      <c r="A118" s="3"/>
      <c r="B118" s="3"/>
      <c r="C118" s="3"/>
      <c r="D118" s="3"/>
      <c r="E118" s="3"/>
      <c r="F118" s="3"/>
      <c r="G118" s="3"/>
      <c r="H118" s="3"/>
      <c r="I118" s="3"/>
      <c r="J118" s="3"/>
      <c r="K118" s="3"/>
      <c r="L118" s="3"/>
      <c r="M118" s="3"/>
    </row>
    <row r="119" ht="15.75" customHeight="1">
      <c r="A119" s="3"/>
      <c r="B119" s="3"/>
      <c r="C119" s="3"/>
      <c r="D119" s="3"/>
      <c r="E119" s="3"/>
      <c r="F119" s="3"/>
      <c r="G119" s="3"/>
      <c r="H119" s="3"/>
      <c r="I119" s="3"/>
      <c r="J119" s="3"/>
      <c r="K119" s="3"/>
      <c r="L119" s="3"/>
      <c r="M119" s="3"/>
    </row>
    <row r="120" ht="15.75" customHeight="1">
      <c r="A120" s="3"/>
      <c r="B120" s="3"/>
      <c r="C120" s="3"/>
      <c r="D120" s="3"/>
      <c r="E120" s="3"/>
      <c r="F120" s="3"/>
      <c r="G120" s="3"/>
      <c r="H120" s="3"/>
      <c r="I120" s="3"/>
      <c r="J120" s="3"/>
      <c r="K120" s="3"/>
      <c r="L120" s="3"/>
      <c r="M120" s="3"/>
    </row>
    <row r="121" ht="15.75" customHeight="1">
      <c r="A121" s="3"/>
      <c r="B121" s="3"/>
      <c r="C121" s="3"/>
      <c r="D121" s="3"/>
      <c r="E121" s="3"/>
      <c r="F121" s="3"/>
      <c r="G121" s="3"/>
      <c r="H121" s="3"/>
      <c r="I121" s="3"/>
      <c r="J121" s="3"/>
      <c r="K121" s="3"/>
      <c r="L121" s="3"/>
      <c r="M121" s="3"/>
    </row>
    <row r="122" ht="15.75" customHeight="1">
      <c r="A122" s="3"/>
      <c r="B122" s="3"/>
      <c r="C122" s="3"/>
      <c r="D122" s="3"/>
      <c r="E122" s="3"/>
      <c r="F122" s="3"/>
      <c r="G122" s="3"/>
      <c r="H122" s="3"/>
      <c r="I122" s="3"/>
      <c r="J122" s="3"/>
      <c r="K122" s="3"/>
      <c r="L122" s="3"/>
      <c r="M122" s="3"/>
    </row>
    <row r="123" ht="15.75" customHeight="1">
      <c r="A123" s="3"/>
      <c r="B123" s="3"/>
      <c r="C123" s="3"/>
      <c r="D123" s="3"/>
      <c r="E123" s="3"/>
      <c r="F123" s="3"/>
      <c r="G123" s="3"/>
      <c r="H123" s="3"/>
      <c r="I123" s="3"/>
      <c r="J123" s="3"/>
      <c r="K123" s="3"/>
      <c r="L123" s="3"/>
      <c r="M123" s="3"/>
    </row>
    <row r="124" ht="15.75" customHeight="1">
      <c r="A124" s="3"/>
      <c r="B124" s="3"/>
      <c r="C124" s="3"/>
      <c r="D124" s="3"/>
      <c r="E124" s="3"/>
      <c r="F124" s="3"/>
      <c r="G124" s="3"/>
      <c r="H124" s="3"/>
      <c r="I124" s="3"/>
      <c r="J124" s="3"/>
      <c r="K124" s="3"/>
      <c r="L124" s="3"/>
      <c r="M124" s="3"/>
    </row>
    <row r="125" ht="15.75" customHeight="1">
      <c r="A125" s="3"/>
      <c r="B125" s="3"/>
      <c r="C125" s="3"/>
      <c r="D125" s="3"/>
      <c r="E125" s="3"/>
      <c r="F125" s="3"/>
      <c r="G125" s="3"/>
      <c r="H125" s="3"/>
      <c r="I125" s="3"/>
      <c r="J125" s="3"/>
      <c r="K125" s="3"/>
      <c r="L125" s="3"/>
      <c r="M125" s="3"/>
    </row>
    <row r="126" ht="15.75" customHeight="1">
      <c r="A126" s="3"/>
      <c r="B126" s="3"/>
      <c r="C126" s="3"/>
      <c r="D126" s="3"/>
      <c r="E126" s="3"/>
      <c r="F126" s="3"/>
      <c r="G126" s="3"/>
      <c r="H126" s="3"/>
      <c r="I126" s="3"/>
      <c r="J126" s="3"/>
      <c r="K126" s="3"/>
      <c r="L126" s="3"/>
      <c r="M126" s="3"/>
    </row>
    <row r="127" ht="15.75" customHeight="1">
      <c r="A127" s="3"/>
      <c r="B127" s="3"/>
      <c r="C127" s="3"/>
      <c r="D127" s="3"/>
      <c r="E127" s="3"/>
      <c r="F127" s="3"/>
      <c r="G127" s="3"/>
      <c r="H127" s="3"/>
      <c r="I127" s="3"/>
      <c r="J127" s="3"/>
      <c r="K127" s="3"/>
      <c r="L127" s="3"/>
      <c r="M127" s="3"/>
    </row>
    <row r="128" ht="15.75" customHeight="1">
      <c r="A128" s="3"/>
      <c r="B128" s="3"/>
      <c r="C128" s="3"/>
      <c r="D128" s="3"/>
      <c r="E128" s="3"/>
      <c r="F128" s="3"/>
      <c r="G128" s="3"/>
      <c r="H128" s="3"/>
      <c r="I128" s="3"/>
      <c r="J128" s="3"/>
      <c r="K128" s="3"/>
      <c r="L128" s="3"/>
      <c r="M128" s="3"/>
    </row>
    <row r="129" ht="15.75" customHeight="1">
      <c r="A129" s="3"/>
      <c r="B129" s="3"/>
      <c r="C129" s="3"/>
      <c r="D129" s="3"/>
      <c r="E129" s="3"/>
      <c r="F129" s="3"/>
      <c r="G129" s="3"/>
      <c r="H129" s="3"/>
      <c r="I129" s="3"/>
      <c r="J129" s="3"/>
      <c r="K129" s="3"/>
      <c r="L129" s="3"/>
      <c r="M129" s="3"/>
    </row>
    <row r="130" ht="15.75" customHeight="1">
      <c r="A130" s="3"/>
      <c r="B130" s="3"/>
      <c r="C130" s="3"/>
      <c r="D130" s="3"/>
      <c r="E130" s="3"/>
      <c r="F130" s="3"/>
      <c r="G130" s="3"/>
      <c r="H130" s="3"/>
      <c r="I130" s="3"/>
      <c r="J130" s="3"/>
      <c r="K130" s="3"/>
      <c r="L130" s="3"/>
      <c r="M130" s="3"/>
    </row>
    <row r="131" ht="15.75" customHeight="1">
      <c r="A131" s="3"/>
      <c r="B131" s="3"/>
      <c r="C131" s="3"/>
      <c r="D131" s="3"/>
      <c r="E131" s="3"/>
      <c r="F131" s="3"/>
      <c r="G131" s="3"/>
      <c r="H131" s="3"/>
      <c r="I131" s="3"/>
      <c r="J131" s="3"/>
      <c r="K131" s="3"/>
      <c r="L131" s="3"/>
      <c r="M131" s="3"/>
    </row>
    <row r="132" ht="15.75" customHeight="1">
      <c r="A132" s="3"/>
      <c r="B132" s="3"/>
      <c r="C132" s="3"/>
      <c r="D132" s="3"/>
      <c r="E132" s="3"/>
      <c r="F132" s="3"/>
      <c r="G132" s="3"/>
      <c r="H132" s="3"/>
      <c r="I132" s="3"/>
      <c r="J132" s="3"/>
      <c r="K132" s="3"/>
      <c r="L132" s="3"/>
      <c r="M132" s="3"/>
    </row>
    <row r="133" ht="15.75" customHeight="1">
      <c r="A133" s="3"/>
      <c r="B133" s="3"/>
      <c r="C133" s="3"/>
      <c r="D133" s="3"/>
      <c r="E133" s="3"/>
      <c r="F133" s="3"/>
      <c r="G133" s="3"/>
      <c r="H133" s="3"/>
      <c r="I133" s="3"/>
      <c r="J133" s="3"/>
      <c r="K133" s="3"/>
      <c r="L133" s="3"/>
      <c r="M133" s="3"/>
    </row>
    <row r="134" ht="15.75" customHeight="1">
      <c r="A134" s="3"/>
      <c r="B134" s="3"/>
      <c r="C134" s="3"/>
      <c r="D134" s="3"/>
      <c r="E134" s="3"/>
      <c r="F134" s="3"/>
      <c r="G134" s="3"/>
      <c r="H134" s="3"/>
      <c r="I134" s="3"/>
      <c r="J134" s="3"/>
      <c r="K134" s="3"/>
      <c r="L134" s="3"/>
      <c r="M134" s="3"/>
    </row>
    <row r="135" ht="15.75" customHeight="1">
      <c r="A135" s="3"/>
      <c r="B135" s="3"/>
      <c r="C135" s="3"/>
      <c r="D135" s="3"/>
      <c r="E135" s="3"/>
      <c r="F135" s="3"/>
      <c r="G135" s="3"/>
      <c r="H135" s="3"/>
      <c r="I135" s="3"/>
      <c r="J135" s="3"/>
      <c r="K135" s="3"/>
      <c r="L135" s="3"/>
      <c r="M135" s="3"/>
    </row>
    <row r="136" ht="15.75" customHeight="1">
      <c r="A136" s="3"/>
      <c r="B136" s="3"/>
      <c r="C136" s="3"/>
      <c r="D136" s="3"/>
      <c r="E136" s="3"/>
      <c r="F136" s="3"/>
      <c r="G136" s="3"/>
      <c r="H136" s="3"/>
      <c r="I136" s="3"/>
      <c r="J136" s="3"/>
      <c r="K136" s="3"/>
      <c r="L136" s="3"/>
      <c r="M136" s="3"/>
    </row>
    <row r="137" ht="15.75" customHeight="1">
      <c r="A137" s="3"/>
      <c r="B137" s="3"/>
      <c r="C137" s="3"/>
      <c r="D137" s="3"/>
      <c r="E137" s="3"/>
      <c r="F137" s="3"/>
      <c r="G137" s="3"/>
      <c r="H137" s="3"/>
      <c r="I137" s="3"/>
      <c r="J137" s="3"/>
      <c r="K137" s="3"/>
      <c r="L137" s="3"/>
      <c r="M137" s="3"/>
    </row>
    <row r="138" ht="15.75" customHeight="1">
      <c r="A138" s="3"/>
      <c r="B138" s="3"/>
      <c r="C138" s="3"/>
      <c r="D138" s="3"/>
      <c r="E138" s="3"/>
      <c r="F138" s="3"/>
      <c r="G138" s="3"/>
      <c r="H138" s="3"/>
      <c r="I138" s="3"/>
      <c r="J138" s="3"/>
      <c r="K138" s="3"/>
      <c r="L138" s="3"/>
      <c r="M138" s="3"/>
    </row>
    <row r="139" ht="15.75" customHeight="1">
      <c r="A139" s="3"/>
      <c r="B139" s="3"/>
      <c r="C139" s="3"/>
      <c r="D139" s="3"/>
      <c r="E139" s="3"/>
      <c r="F139" s="3"/>
      <c r="G139" s="3"/>
      <c r="H139" s="3"/>
      <c r="I139" s="3"/>
      <c r="J139" s="3"/>
      <c r="K139" s="3"/>
      <c r="L139" s="3"/>
      <c r="M139" s="3"/>
    </row>
    <row r="140" ht="15.75" customHeight="1">
      <c r="A140" s="3"/>
      <c r="B140" s="3"/>
      <c r="C140" s="3"/>
      <c r="D140" s="3"/>
      <c r="E140" s="3"/>
      <c r="F140" s="3"/>
      <c r="G140" s="3"/>
      <c r="H140" s="3"/>
      <c r="I140" s="3"/>
      <c r="J140" s="3"/>
      <c r="K140" s="3"/>
      <c r="L140" s="3"/>
      <c r="M140" s="3"/>
    </row>
    <row r="141" ht="15.75" customHeight="1">
      <c r="A141" s="3"/>
      <c r="B141" s="3"/>
      <c r="C141" s="3"/>
      <c r="D141" s="3"/>
      <c r="E141" s="3"/>
      <c r="F141" s="3"/>
      <c r="G141" s="3"/>
      <c r="H141" s="3"/>
      <c r="I141" s="3"/>
      <c r="J141" s="3"/>
      <c r="K141" s="3"/>
      <c r="L141" s="3"/>
      <c r="M141" s="3"/>
    </row>
    <row r="142" ht="15.75" customHeight="1">
      <c r="A142" s="3"/>
      <c r="B142" s="3"/>
      <c r="C142" s="3"/>
      <c r="D142" s="3"/>
      <c r="E142" s="3"/>
      <c r="F142" s="3"/>
      <c r="G142" s="3"/>
      <c r="H142" s="3"/>
      <c r="I142" s="3"/>
      <c r="J142" s="3"/>
      <c r="K142" s="3"/>
      <c r="L142" s="3"/>
      <c r="M142" s="3"/>
    </row>
    <row r="143" ht="15.75" customHeight="1">
      <c r="A143" s="3"/>
      <c r="B143" s="3"/>
      <c r="C143" s="3"/>
      <c r="D143" s="3"/>
      <c r="E143" s="3"/>
      <c r="F143" s="3"/>
      <c r="G143" s="3"/>
      <c r="H143" s="3"/>
      <c r="I143" s="3"/>
      <c r="J143" s="3"/>
      <c r="K143" s="3"/>
      <c r="L143" s="3"/>
      <c r="M143" s="3"/>
    </row>
    <row r="144" ht="15.75" customHeight="1">
      <c r="A144" s="3"/>
      <c r="B144" s="3"/>
      <c r="C144" s="3"/>
      <c r="D144" s="3"/>
      <c r="E144" s="3"/>
      <c r="F144" s="3"/>
      <c r="G144" s="3"/>
      <c r="H144" s="3"/>
      <c r="I144" s="3"/>
      <c r="J144" s="3"/>
      <c r="K144" s="3"/>
      <c r="L144" s="3"/>
      <c r="M144" s="3"/>
    </row>
    <row r="145" ht="15.75" customHeight="1">
      <c r="A145" s="3"/>
      <c r="B145" s="3"/>
      <c r="C145" s="3"/>
      <c r="D145" s="3"/>
      <c r="E145" s="3"/>
      <c r="F145" s="3"/>
      <c r="G145" s="3"/>
      <c r="H145" s="3"/>
      <c r="I145" s="3"/>
      <c r="J145" s="3"/>
      <c r="K145" s="3"/>
      <c r="L145" s="3"/>
      <c r="M145" s="3"/>
    </row>
    <row r="146" ht="15.75" customHeight="1">
      <c r="A146" s="3"/>
      <c r="B146" s="3"/>
      <c r="C146" s="3"/>
      <c r="D146" s="3"/>
      <c r="E146" s="3"/>
      <c r="F146" s="3"/>
      <c r="G146" s="3"/>
      <c r="H146" s="3"/>
      <c r="I146" s="3"/>
      <c r="J146" s="3"/>
      <c r="K146" s="3"/>
      <c r="L146" s="3"/>
      <c r="M146" s="3"/>
    </row>
    <row r="147" ht="15.75" customHeight="1">
      <c r="A147" s="3"/>
      <c r="B147" s="3"/>
      <c r="C147" s="3"/>
      <c r="D147" s="3"/>
      <c r="E147" s="3"/>
      <c r="F147" s="3"/>
      <c r="G147" s="3"/>
      <c r="H147" s="3"/>
      <c r="I147" s="3"/>
      <c r="J147" s="3"/>
      <c r="K147" s="3"/>
      <c r="L147" s="3"/>
      <c r="M147" s="3"/>
    </row>
    <row r="148" ht="15.75" customHeight="1">
      <c r="A148" s="3"/>
      <c r="B148" s="3"/>
      <c r="C148" s="3"/>
      <c r="D148" s="3"/>
      <c r="E148" s="3"/>
      <c r="F148" s="3"/>
      <c r="G148" s="3"/>
      <c r="H148" s="3"/>
      <c r="I148" s="3"/>
      <c r="J148" s="3"/>
      <c r="K148" s="3"/>
      <c r="L148" s="3"/>
      <c r="M148" s="3"/>
    </row>
    <row r="149" ht="15.75" customHeight="1">
      <c r="A149" s="3"/>
      <c r="B149" s="3"/>
      <c r="C149" s="3"/>
      <c r="D149" s="3"/>
      <c r="E149" s="3"/>
      <c r="F149" s="3"/>
      <c r="G149" s="3"/>
      <c r="H149" s="3"/>
      <c r="I149" s="3"/>
      <c r="J149" s="3"/>
      <c r="K149" s="3"/>
      <c r="L149" s="3"/>
      <c r="M149" s="3"/>
    </row>
    <row r="150" ht="15.75" customHeight="1">
      <c r="A150" s="3"/>
      <c r="B150" s="3"/>
      <c r="C150" s="3"/>
      <c r="D150" s="3"/>
      <c r="E150" s="3"/>
      <c r="F150" s="3"/>
      <c r="G150" s="3"/>
      <c r="H150" s="3"/>
      <c r="I150" s="3"/>
      <c r="J150" s="3"/>
      <c r="K150" s="3"/>
      <c r="L150" s="3"/>
      <c r="M150" s="3"/>
    </row>
    <row r="151" ht="15.75" customHeight="1">
      <c r="A151" s="3"/>
      <c r="B151" s="3"/>
      <c r="C151" s="3"/>
      <c r="D151" s="3"/>
      <c r="E151" s="3"/>
      <c r="F151" s="3"/>
      <c r="G151" s="3"/>
      <c r="H151" s="3"/>
      <c r="I151" s="3"/>
      <c r="J151" s="3"/>
      <c r="K151" s="3"/>
      <c r="L151" s="3"/>
      <c r="M151" s="3"/>
    </row>
    <row r="152" ht="15.75" customHeight="1">
      <c r="A152" s="3"/>
      <c r="B152" s="3"/>
      <c r="C152" s="3"/>
      <c r="D152" s="3"/>
      <c r="E152" s="3"/>
      <c r="F152" s="3"/>
      <c r="G152" s="3"/>
      <c r="H152" s="3"/>
      <c r="I152" s="3"/>
      <c r="J152" s="3"/>
      <c r="K152" s="3"/>
      <c r="L152" s="3"/>
      <c r="M152" s="3"/>
    </row>
    <row r="153" ht="15.75" customHeight="1">
      <c r="A153" s="3"/>
      <c r="B153" s="3"/>
      <c r="C153" s="3"/>
      <c r="D153" s="3"/>
      <c r="E153" s="3"/>
      <c r="F153" s="3"/>
      <c r="G153" s="3"/>
      <c r="H153" s="3"/>
      <c r="I153" s="3"/>
      <c r="J153" s="3"/>
      <c r="K153" s="3"/>
      <c r="L153" s="3"/>
      <c r="M153" s="3"/>
    </row>
    <row r="154" ht="15.75" customHeight="1">
      <c r="A154" s="3"/>
      <c r="B154" s="3"/>
      <c r="C154" s="3"/>
      <c r="D154" s="3"/>
      <c r="E154" s="3"/>
      <c r="F154" s="3"/>
      <c r="G154" s="3"/>
      <c r="H154" s="3"/>
      <c r="I154" s="3"/>
      <c r="J154" s="3"/>
      <c r="K154" s="3"/>
      <c r="L154" s="3"/>
      <c r="M154" s="3"/>
    </row>
    <row r="155" ht="15.75" customHeight="1">
      <c r="A155" s="3"/>
      <c r="B155" s="3"/>
      <c r="C155" s="3"/>
      <c r="D155" s="3"/>
      <c r="E155" s="3"/>
      <c r="F155" s="3"/>
      <c r="G155" s="3"/>
      <c r="H155" s="3"/>
      <c r="I155" s="3"/>
      <c r="J155" s="3"/>
      <c r="K155" s="3"/>
      <c r="L155" s="3"/>
      <c r="M155" s="3"/>
    </row>
    <row r="156" ht="15.75" customHeight="1">
      <c r="A156" s="3"/>
      <c r="B156" s="3"/>
      <c r="C156" s="3"/>
      <c r="D156" s="3"/>
      <c r="E156" s="3"/>
      <c r="F156" s="3"/>
      <c r="G156" s="3"/>
      <c r="H156" s="3"/>
      <c r="I156" s="3"/>
      <c r="J156" s="3"/>
      <c r="K156" s="3"/>
      <c r="L156" s="3"/>
      <c r="M156" s="3"/>
    </row>
    <row r="157" ht="15.75" customHeight="1">
      <c r="A157" s="3"/>
      <c r="B157" s="3"/>
      <c r="C157" s="3"/>
      <c r="D157" s="3"/>
      <c r="E157" s="3"/>
      <c r="F157" s="3"/>
      <c r="G157" s="3"/>
      <c r="H157" s="3"/>
      <c r="I157" s="3"/>
      <c r="J157" s="3"/>
      <c r="K157" s="3"/>
      <c r="L157" s="3"/>
      <c r="M157" s="3"/>
    </row>
    <row r="158" ht="15.75" customHeight="1">
      <c r="A158" s="3"/>
      <c r="B158" s="3"/>
      <c r="C158" s="3"/>
      <c r="D158" s="3"/>
      <c r="E158" s="3"/>
      <c r="F158" s="3"/>
      <c r="G158" s="3"/>
      <c r="H158" s="3"/>
      <c r="I158" s="3"/>
      <c r="J158" s="3"/>
      <c r="K158" s="3"/>
      <c r="L158" s="3"/>
      <c r="M158" s="3"/>
    </row>
    <row r="159" ht="15.75" customHeight="1">
      <c r="A159" s="3"/>
      <c r="B159" s="3"/>
      <c r="C159" s="3"/>
      <c r="D159" s="3"/>
      <c r="E159" s="3"/>
      <c r="F159" s="3"/>
      <c r="G159" s="3"/>
      <c r="H159" s="3"/>
      <c r="I159" s="3"/>
      <c r="J159" s="3"/>
      <c r="K159" s="3"/>
      <c r="L159" s="3"/>
      <c r="M159" s="3"/>
    </row>
    <row r="160" ht="15.75" customHeight="1">
      <c r="A160" s="3"/>
      <c r="B160" s="3"/>
      <c r="C160" s="3"/>
      <c r="D160" s="3"/>
      <c r="E160" s="3"/>
      <c r="F160" s="3"/>
      <c r="G160" s="3"/>
      <c r="H160" s="3"/>
      <c r="I160" s="3"/>
      <c r="J160" s="3"/>
      <c r="K160" s="3"/>
      <c r="L160" s="3"/>
      <c r="M160" s="3"/>
    </row>
    <row r="161" ht="15.75" customHeight="1">
      <c r="A161" s="3"/>
      <c r="B161" s="3"/>
      <c r="C161" s="3"/>
      <c r="D161" s="3"/>
      <c r="E161" s="3"/>
      <c r="F161" s="3"/>
      <c r="G161" s="3"/>
      <c r="H161" s="3"/>
      <c r="I161" s="3"/>
      <c r="J161" s="3"/>
      <c r="K161" s="3"/>
      <c r="L161" s="3"/>
      <c r="M161" s="3"/>
    </row>
    <row r="162" ht="15.75" customHeight="1">
      <c r="A162" s="3"/>
      <c r="B162" s="3"/>
      <c r="C162" s="3"/>
      <c r="D162" s="3"/>
      <c r="E162" s="3"/>
      <c r="F162" s="3"/>
      <c r="G162" s="3"/>
      <c r="H162" s="3"/>
      <c r="I162" s="3"/>
      <c r="J162" s="3"/>
      <c r="K162" s="3"/>
      <c r="L162" s="3"/>
      <c r="M162" s="3"/>
    </row>
    <row r="163" ht="15.75" customHeight="1">
      <c r="A163" s="3"/>
      <c r="B163" s="3"/>
      <c r="C163" s="3"/>
      <c r="D163" s="3"/>
      <c r="E163" s="3"/>
      <c r="F163" s="3"/>
      <c r="G163" s="3"/>
      <c r="H163" s="3"/>
      <c r="I163" s="3"/>
      <c r="J163" s="3"/>
      <c r="K163" s="3"/>
      <c r="L163" s="3"/>
      <c r="M163" s="3"/>
    </row>
    <row r="164" ht="15.75" customHeight="1">
      <c r="A164" s="3"/>
      <c r="B164" s="3"/>
      <c r="C164" s="3"/>
      <c r="D164" s="3"/>
      <c r="E164" s="3"/>
      <c r="F164" s="3"/>
      <c r="G164" s="3"/>
      <c r="H164" s="3"/>
      <c r="I164" s="3"/>
      <c r="J164" s="3"/>
      <c r="K164" s="3"/>
      <c r="L164" s="3"/>
      <c r="M164" s="3"/>
    </row>
    <row r="165" ht="15.75" customHeight="1">
      <c r="A165" s="3"/>
      <c r="B165" s="3"/>
      <c r="C165" s="3"/>
      <c r="D165" s="3"/>
      <c r="E165" s="3"/>
      <c r="F165" s="3"/>
      <c r="G165" s="3"/>
      <c r="H165" s="3"/>
      <c r="I165" s="3"/>
      <c r="J165" s="3"/>
      <c r="K165" s="3"/>
      <c r="L165" s="3"/>
      <c r="M165" s="3"/>
    </row>
    <row r="166" ht="15.75" customHeight="1">
      <c r="A166" s="3"/>
      <c r="B166" s="3"/>
      <c r="C166" s="3"/>
      <c r="D166" s="3"/>
      <c r="E166" s="3"/>
      <c r="F166" s="3"/>
      <c r="G166" s="3"/>
      <c r="H166" s="3"/>
      <c r="I166" s="3"/>
      <c r="J166" s="3"/>
      <c r="K166" s="3"/>
      <c r="L166" s="3"/>
      <c r="M166" s="3"/>
    </row>
    <row r="167" ht="15.75" customHeight="1">
      <c r="A167" s="3"/>
      <c r="B167" s="3"/>
      <c r="C167" s="3"/>
      <c r="D167" s="3"/>
      <c r="E167" s="3"/>
      <c r="F167" s="3"/>
      <c r="G167" s="3"/>
      <c r="H167" s="3"/>
      <c r="I167" s="3"/>
      <c r="J167" s="3"/>
      <c r="K167" s="3"/>
      <c r="L167" s="3"/>
      <c r="M167" s="3"/>
    </row>
    <row r="168" ht="15.75" customHeight="1">
      <c r="A168" s="3"/>
      <c r="B168" s="3"/>
      <c r="C168" s="3"/>
      <c r="D168" s="3"/>
      <c r="E168" s="3"/>
      <c r="F168" s="3"/>
      <c r="G168" s="3"/>
      <c r="H168" s="3"/>
      <c r="I168" s="3"/>
      <c r="J168" s="3"/>
      <c r="K168" s="3"/>
      <c r="L168" s="3"/>
      <c r="M168" s="3"/>
    </row>
    <row r="169" ht="15.75" customHeight="1">
      <c r="A169" s="3"/>
      <c r="B169" s="3"/>
      <c r="C169" s="3"/>
      <c r="D169" s="3"/>
      <c r="E169" s="3"/>
      <c r="F169" s="3"/>
      <c r="G169" s="3"/>
      <c r="H169" s="3"/>
      <c r="I169" s="3"/>
      <c r="J169" s="3"/>
      <c r="K169" s="3"/>
      <c r="L169" s="3"/>
      <c r="M169" s="3"/>
    </row>
    <row r="170" ht="15.75" customHeight="1">
      <c r="A170" s="3"/>
      <c r="B170" s="3"/>
      <c r="C170" s="3"/>
      <c r="D170" s="3"/>
      <c r="E170" s="3"/>
      <c r="F170" s="3"/>
      <c r="G170" s="3"/>
      <c r="H170" s="3"/>
      <c r="I170" s="3"/>
      <c r="J170" s="3"/>
      <c r="K170" s="3"/>
      <c r="L170" s="3"/>
      <c r="M170" s="3"/>
    </row>
    <row r="171" ht="15.75" customHeight="1">
      <c r="A171" s="3"/>
      <c r="B171" s="3"/>
      <c r="C171" s="3"/>
      <c r="D171" s="3"/>
      <c r="E171" s="3"/>
      <c r="F171" s="3"/>
      <c r="G171" s="3"/>
      <c r="H171" s="3"/>
      <c r="I171" s="3"/>
      <c r="J171" s="3"/>
      <c r="K171" s="3"/>
      <c r="L171" s="3"/>
      <c r="M171" s="3"/>
    </row>
    <row r="172" ht="15.75" customHeight="1">
      <c r="A172" s="3"/>
      <c r="B172" s="3"/>
      <c r="C172" s="3"/>
      <c r="D172" s="3"/>
      <c r="E172" s="3"/>
      <c r="F172" s="3"/>
      <c r="G172" s="3"/>
      <c r="H172" s="3"/>
      <c r="I172" s="3"/>
      <c r="J172" s="3"/>
      <c r="K172" s="3"/>
      <c r="L172" s="3"/>
      <c r="M172" s="3"/>
    </row>
    <row r="173" ht="15.75" customHeight="1">
      <c r="A173" s="3"/>
      <c r="B173" s="3"/>
      <c r="C173" s="3"/>
      <c r="D173" s="3"/>
      <c r="E173" s="3"/>
      <c r="F173" s="3"/>
      <c r="G173" s="3"/>
      <c r="H173" s="3"/>
      <c r="I173" s="3"/>
      <c r="J173" s="3"/>
      <c r="K173" s="3"/>
      <c r="L173" s="3"/>
      <c r="M173" s="3"/>
    </row>
    <row r="174" ht="15.75" customHeight="1">
      <c r="A174" s="3"/>
      <c r="B174" s="3"/>
      <c r="C174" s="3"/>
      <c r="D174" s="3"/>
      <c r="E174" s="3"/>
      <c r="F174" s="3"/>
      <c r="G174" s="3"/>
      <c r="H174" s="3"/>
      <c r="I174" s="3"/>
      <c r="J174" s="3"/>
      <c r="K174" s="3"/>
      <c r="L174" s="3"/>
      <c r="M174" s="3"/>
    </row>
    <row r="175" ht="15.75" customHeight="1">
      <c r="A175" s="3"/>
      <c r="B175" s="3"/>
      <c r="C175" s="3"/>
      <c r="D175" s="3"/>
      <c r="E175" s="3"/>
      <c r="F175" s="3"/>
      <c r="G175" s="3"/>
      <c r="H175" s="3"/>
      <c r="I175" s="3"/>
      <c r="J175" s="3"/>
      <c r="K175" s="3"/>
      <c r="L175" s="3"/>
      <c r="M175" s="3"/>
    </row>
    <row r="176" ht="15.75" customHeight="1">
      <c r="A176" s="3"/>
      <c r="B176" s="3"/>
      <c r="C176" s="3"/>
      <c r="D176" s="3"/>
      <c r="E176" s="3"/>
      <c r="F176" s="3"/>
      <c r="G176" s="3"/>
      <c r="H176" s="3"/>
      <c r="I176" s="3"/>
      <c r="J176" s="3"/>
      <c r="K176" s="3"/>
      <c r="L176" s="3"/>
      <c r="M176" s="3"/>
    </row>
    <row r="177" ht="15.75" customHeight="1">
      <c r="A177" s="3"/>
      <c r="B177" s="3"/>
      <c r="C177" s="3"/>
      <c r="D177" s="3"/>
      <c r="E177" s="3"/>
      <c r="F177" s="3"/>
      <c r="G177" s="3"/>
      <c r="H177" s="3"/>
      <c r="I177" s="3"/>
      <c r="J177" s="3"/>
      <c r="K177" s="3"/>
      <c r="L177" s="3"/>
      <c r="M177" s="3"/>
    </row>
    <row r="178" ht="15.75" customHeight="1">
      <c r="A178" s="3"/>
      <c r="B178" s="3"/>
      <c r="C178" s="3"/>
      <c r="D178" s="3"/>
      <c r="E178" s="3"/>
      <c r="F178" s="3"/>
      <c r="G178" s="3"/>
      <c r="H178" s="3"/>
      <c r="I178" s="3"/>
      <c r="J178" s="3"/>
      <c r="K178" s="3"/>
      <c r="L178" s="3"/>
      <c r="M178" s="3"/>
    </row>
    <row r="179" ht="15.75" customHeight="1">
      <c r="A179" s="3"/>
      <c r="B179" s="3"/>
      <c r="C179" s="3"/>
      <c r="D179" s="3"/>
      <c r="E179" s="3"/>
      <c r="F179" s="3"/>
      <c r="G179" s="3"/>
      <c r="H179" s="3"/>
      <c r="I179" s="3"/>
      <c r="J179" s="3"/>
      <c r="K179" s="3"/>
      <c r="L179" s="3"/>
      <c r="M179" s="3"/>
    </row>
    <row r="180" ht="15.75" customHeight="1">
      <c r="A180" s="3"/>
      <c r="B180" s="3"/>
      <c r="C180" s="3"/>
      <c r="D180" s="3"/>
      <c r="E180" s="3"/>
      <c r="F180" s="3"/>
      <c r="G180" s="3"/>
      <c r="H180" s="3"/>
      <c r="I180" s="3"/>
      <c r="J180" s="3"/>
      <c r="K180" s="3"/>
      <c r="L180" s="3"/>
      <c r="M180" s="3"/>
    </row>
    <row r="181" ht="15.75" customHeight="1">
      <c r="A181" s="3"/>
      <c r="B181" s="3"/>
      <c r="C181" s="3"/>
      <c r="D181" s="3"/>
      <c r="E181" s="3"/>
      <c r="F181" s="3"/>
      <c r="G181" s="3"/>
      <c r="H181" s="3"/>
      <c r="I181" s="3"/>
      <c r="J181" s="3"/>
      <c r="K181" s="3"/>
      <c r="L181" s="3"/>
      <c r="M181" s="3"/>
    </row>
    <row r="182" ht="15.75" customHeight="1">
      <c r="A182" s="3"/>
      <c r="B182" s="3"/>
      <c r="C182" s="3"/>
      <c r="D182" s="3"/>
      <c r="E182" s="3"/>
      <c r="F182" s="3"/>
      <c r="G182" s="3"/>
      <c r="H182" s="3"/>
      <c r="I182" s="3"/>
      <c r="J182" s="3"/>
      <c r="K182" s="3"/>
      <c r="L182" s="3"/>
      <c r="M182" s="3"/>
    </row>
    <row r="183" ht="15.75" customHeight="1">
      <c r="A183" s="3"/>
      <c r="B183" s="3"/>
      <c r="C183" s="3"/>
      <c r="D183" s="3"/>
      <c r="E183" s="3"/>
      <c r="F183" s="3"/>
      <c r="G183" s="3"/>
      <c r="H183" s="3"/>
      <c r="I183" s="3"/>
      <c r="J183" s="3"/>
      <c r="K183" s="3"/>
      <c r="L183" s="3"/>
      <c r="M183" s="3"/>
    </row>
    <row r="184" ht="15.75" customHeight="1">
      <c r="A184" s="3"/>
      <c r="B184" s="3"/>
      <c r="C184" s="3"/>
      <c r="D184" s="3"/>
      <c r="E184" s="3"/>
      <c r="F184" s="3"/>
      <c r="G184" s="3"/>
      <c r="H184" s="3"/>
      <c r="I184" s="3"/>
      <c r="J184" s="3"/>
      <c r="K184" s="3"/>
      <c r="L184" s="3"/>
      <c r="M184" s="3"/>
    </row>
    <row r="185" ht="15.75" customHeight="1">
      <c r="A185" s="3"/>
      <c r="B185" s="3"/>
      <c r="C185" s="3"/>
      <c r="D185" s="3"/>
      <c r="E185" s="3"/>
      <c r="F185" s="3"/>
      <c r="G185" s="3"/>
      <c r="H185" s="3"/>
      <c r="I185" s="3"/>
      <c r="J185" s="3"/>
      <c r="K185" s="3"/>
      <c r="L185" s="3"/>
      <c r="M185" s="3"/>
    </row>
    <row r="186" ht="15.75" customHeight="1">
      <c r="A186" s="3"/>
      <c r="B186" s="3"/>
      <c r="C186" s="3"/>
      <c r="D186" s="3"/>
      <c r="E186" s="3"/>
      <c r="F186" s="3"/>
      <c r="G186" s="3"/>
      <c r="H186" s="3"/>
      <c r="I186" s="3"/>
      <c r="J186" s="3"/>
      <c r="K186" s="3"/>
      <c r="L186" s="3"/>
      <c r="M186" s="3"/>
    </row>
    <row r="187" ht="15.75" customHeight="1">
      <c r="A187" s="3"/>
      <c r="B187" s="3"/>
      <c r="C187" s="3"/>
      <c r="D187" s="3"/>
      <c r="E187" s="3"/>
      <c r="F187" s="3"/>
      <c r="G187" s="3"/>
      <c r="H187" s="3"/>
      <c r="I187" s="3"/>
      <c r="J187" s="3"/>
      <c r="K187" s="3"/>
      <c r="L187" s="3"/>
      <c r="M187" s="3"/>
    </row>
    <row r="188" ht="15.75" customHeight="1">
      <c r="A188" s="3"/>
      <c r="B188" s="3"/>
      <c r="C188" s="3"/>
      <c r="D188" s="3"/>
      <c r="E188" s="3"/>
      <c r="F188" s="3"/>
      <c r="G188" s="3"/>
      <c r="H188" s="3"/>
      <c r="I188" s="3"/>
      <c r="J188" s="3"/>
      <c r="K188" s="3"/>
      <c r="L188" s="3"/>
      <c r="M188" s="3"/>
    </row>
    <row r="189" ht="15.75" customHeight="1">
      <c r="A189" s="3"/>
      <c r="B189" s="3"/>
      <c r="C189" s="3"/>
      <c r="D189" s="3"/>
      <c r="E189" s="3"/>
      <c r="F189" s="3"/>
      <c r="G189" s="3"/>
      <c r="H189" s="3"/>
      <c r="I189" s="3"/>
      <c r="J189" s="3"/>
      <c r="K189" s="3"/>
      <c r="L189" s="3"/>
      <c r="M189" s="3"/>
    </row>
    <row r="190" ht="15.75" customHeight="1">
      <c r="A190" s="3"/>
      <c r="B190" s="3"/>
      <c r="C190" s="3"/>
      <c r="D190" s="3"/>
      <c r="E190" s="3"/>
      <c r="F190" s="3"/>
      <c r="G190" s="3"/>
      <c r="H190" s="3"/>
      <c r="I190" s="3"/>
      <c r="J190" s="3"/>
      <c r="K190" s="3"/>
      <c r="L190" s="3"/>
      <c r="M190" s="3"/>
    </row>
    <row r="191" ht="15.75" customHeight="1">
      <c r="A191" s="3"/>
      <c r="B191" s="3"/>
      <c r="C191" s="3"/>
      <c r="D191" s="3"/>
      <c r="E191" s="3"/>
      <c r="F191" s="3"/>
      <c r="G191" s="3"/>
      <c r="H191" s="3"/>
      <c r="I191" s="3"/>
      <c r="J191" s="3"/>
      <c r="K191" s="3"/>
      <c r="L191" s="3"/>
      <c r="M191" s="3"/>
    </row>
    <row r="192" ht="15.75" customHeight="1">
      <c r="A192" s="3"/>
      <c r="B192" s="3"/>
      <c r="C192" s="3"/>
      <c r="D192" s="3"/>
      <c r="E192" s="3"/>
      <c r="F192" s="3"/>
      <c r="G192" s="3"/>
      <c r="H192" s="3"/>
      <c r="I192" s="3"/>
      <c r="J192" s="3"/>
      <c r="K192" s="3"/>
      <c r="L192" s="3"/>
      <c r="M192" s="3"/>
    </row>
    <row r="193" ht="15.75" customHeight="1">
      <c r="A193" s="3"/>
      <c r="B193" s="3"/>
      <c r="C193" s="3"/>
      <c r="D193" s="3"/>
      <c r="E193" s="3"/>
      <c r="F193" s="3"/>
      <c r="G193" s="3"/>
      <c r="H193" s="3"/>
      <c r="I193" s="3"/>
      <c r="J193" s="3"/>
      <c r="K193" s="3"/>
      <c r="L193" s="3"/>
      <c r="M193" s="3"/>
    </row>
    <row r="194" ht="15.75" customHeight="1">
      <c r="A194" s="3"/>
      <c r="B194" s="3"/>
      <c r="C194" s="3"/>
      <c r="D194" s="3"/>
      <c r="E194" s="3"/>
      <c r="F194" s="3"/>
      <c r="G194" s="3"/>
      <c r="H194" s="3"/>
      <c r="I194" s="3"/>
      <c r="J194" s="3"/>
      <c r="K194" s="3"/>
      <c r="L194" s="3"/>
      <c r="M194" s="3"/>
    </row>
    <row r="195" ht="15.75" customHeight="1">
      <c r="A195" s="3"/>
      <c r="B195" s="3"/>
      <c r="C195" s="3"/>
      <c r="D195" s="3"/>
      <c r="E195" s="3"/>
      <c r="F195" s="3"/>
      <c r="G195" s="3"/>
      <c r="H195" s="3"/>
      <c r="I195" s="3"/>
      <c r="J195" s="3"/>
      <c r="K195" s="3"/>
      <c r="L195" s="3"/>
      <c r="M195" s="3"/>
    </row>
    <row r="196" ht="15.75" customHeight="1">
      <c r="A196" s="3"/>
      <c r="B196" s="3"/>
      <c r="C196" s="3"/>
      <c r="D196" s="3"/>
      <c r="E196" s="3"/>
      <c r="F196" s="3"/>
      <c r="G196" s="3"/>
      <c r="H196" s="3"/>
      <c r="I196" s="3"/>
      <c r="J196" s="3"/>
      <c r="K196" s="3"/>
      <c r="L196" s="3"/>
      <c r="M196" s="3"/>
    </row>
    <row r="197" ht="15.75" customHeight="1">
      <c r="A197" s="3"/>
      <c r="B197" s="3"/>
      <c r="C197" s="3"/>
      <c r="D197" s="3"/>
      <c r="E197" s="3"/>
      <c r="F197" s="3"/>
      <c r="G197" s="3"/>
      <c r="H197" s="3"/>
      <c r="I197" s="3"/>
      <c r="J197" s="3"/>
      <c r="K197" s="3"/>
      <c r="L197" s="3"/>
      <c r="M197" s="3"/>
    </row>
    <row r="198" ht="15.75" customHeight="1">
      <c r="A198" s="3"/>
      <c r="B198" s="3"/>
      <c r="C198" s="3"/>
      <c r="D198" s="3"/>
      <c r="E198" s="3"/>
      <c r="F198" s="3"/>
      <c r="G198" s="3"/>
      <c r="H198" s="3"/>
      <c r="I198" s="3"/>
      <c r="J198" s="3"/>
      <c r="K198" s="3"/>
      <c r="L198" s="3"/>
      <c r="M198" s="3"/>
    </row>
    <row r="199" ht="15.75" customHeight="1">
      <c r="A199" s="3"/>
      <c r="B199" s="3"/>
      <c r="C199" s="3"/>
      <c r="D199" s="3"/>
      <c r="E199" s="3"/>
      <c r="F199" s="3"/>
      <c r="G199" s="3"/>
      <c r="H199" s="3"/>
      <c r="I199" s="3"/>
      <c r="J199" s="3"/>
      <c r="K199" s="3"/>
      <c r="L199" s="3"/>
      <c r="M199" s="3"/>
    </row>
    <row r="200" ht="15.75" customHeight="1">
      <c r="A200" s="3"/>
      <c r="B200" s="3"/>
      <c r="C200" s="3"/>
      <c r="D200" s="3"/>
      <c r="E200" s="3"/>
      <c r="F200" s="3"/>
      <c r="G200" s="3"/>
      <c r="H200" s="3"/>
      <c r="I200" s="3"/>
      <c r="J200" s="3"/>
      <c r="K200" s="3"/>
      <c r="L200" s="3"/>
      <c r="M200" s="3"/>
    </row>
    <row r="201" ht="15.75" customHeight="1">
      <c r="A201" s="3"/>
      <c r="B201" s="3"/>
      <c r="C201" s="3"/>
      <c r="D201" s="3"/>
      <c r="E201" s="3"/>
      <c r="F201" s="3"/>
      <c r="G201" s="3"/>
      <c r="H201" s="3"/>
      <c r="I201" s="3"/>
      <c r="J201" s="3"/>
      <c r="K201" s="3"/>
      <c r="L201" s="3"/>
      <c r="M201" s="3"/>
    </row>
    <row r="202" ht="15.75" customHeight="1">
      <c r="A202" s="3"/>
      <c r="B202" s="3"/>
      <c r="C202" s="3"/>
      <c r="D202" s="3"/>
      <c r="E202" s="3"/>
      <c r="F202" s="3"/>
      <c r="G202" s="3"/>
      <c r="H202" s="3"/>
      <c r="I202" s="3"/>
      <c r="J202" s="3"/>
      <c r="K202" s="3"/>
      <c r="L202" s="3"/>
      <c r="M202" s="3"/>
    </row>
    <row r="203" ht="15.75" customHeight="1">
      <c r="A203" s="3"/>
      <c r="B203" s="3"/>
      <c r="C203" s="3"/>
      <c r="D203" s="3"/>
      <c r="E203" s="3"/>
      <c r="F203" s="3"/>
      <c r="G203" s="3"/>
      <c r="H203" s="3"/>
      <c r="I203" s="3"/>
      <c r="J203" s="3"/>
      <c r="K203" s="3"/>
      <c r="L203" s="3"/>
      <c r="M203" s="3"/>
    </row>
    <row r="204" ht="15.75" customHeight="1">
      <c r="A204" s="3"/>
      <c r="B204" s="3"/>
      <c r="C204" s="3"/>
      <c r="D204" s="3"/>
      <c r="E204" s="3"/>
      <c r="F204" s="3"/>
      <c r="G204" s="3"/>
      <c r="H204" s="3"/>
      <c r="I204" s="3"/>
      <c r="J204" s="3"/>
      <c r="K204" s="3"/>
      <c r="L204" s="3"/>
      <c r="M204" s="3"/>
    </row>
    <row r="205" ht="15.75" customHeight="1">
      <c r="A205" s="3"/>
      <c r="B205" s="3"/>
      <c r="C205" s="3"/>
      <c r="D205" s="3"/>
      <c r="E205" s="3"/>
      <c r="F205" s="3"/>
      <c r="G205" s="3"/>
      <c r="H205" s="3"/>
      <c r="I205" s="3"/>
      <c r="J205" s="3"/>
      <c r="K205" s="3"/>
      <c r="L205" s="3"/>
      <c r="M205" s="3"/>
    </row>
    <row r="206" ht="15.75" customHeight="1">
      <c r="A206" s="3"/>
      <c r="B206" s="3"/>
      <c r="C206" s="3"/>
      <c r="D206" s="3"/>
      <c r="E206" s="3"/>
      <c r="F206" s="3"/>
      <c r="G206" s="3"/>
      <c r="H206" s="3"/>
      <c r="I206" s="3"/>
      <c r="J206" s="3"/>
      <c r="K206" s="3"/>
      <c r="L206" s="3"/>
      <c r="M206" s="3"/>
    </row>
    <row r="207" ht="15.75" customHeight="1">
      <c r="A207" s="3"/>
      <c r="B207" s="3"/>
      <c r="C207" s="3"/>
      <c r="D207" s="3"/>
      <c r="E207" s="3"/>
      <c r="F207" s="3"/>
      <c r="G207" s="3"/>
      <c r="H207" s="3"/>
      <c r="I207" s="3"/>
      <c r="J207" s="3"/>
      <c r="K207" s="3"/>
      <c r="L207" s="3"/>
      <c r="M207" s="3"/>
    </row>
    <row r="208" ht="15.75" customHeight="1">
      <c r="A208" s="3"/>
      <c r="B208" s="3"/>
      <c r="C208" s="3"/>
      <c r="D208" s="3"/>
      <c r="E208" s="3"/>
      <c r="F208" s="3"/>
      <c r="G208" s="3"/>
      <c r="H208" s="3"/>
      <c r="I208" s="3"/>
      <c r="J208" s="3"/>
      <c r="K208" s="3"/>
      <c r="L208" s="3"/>
      <c r="M208" s="3"/>
    </row>
    <row r="209" ht="15.75" customHeight="1">
      <c r="A209" s="3"/>
      <c r="B209" s="3"/>
      <c r="C209" s="3"/>
      <c r="D209" s="3"/>
      <c r="E209" s="3"/>
      <c r="F209" s="3"/>
      <c r="G209" s="3"/>
      <c r="H209" s="3"/>
      <c r="I209" s="3"/>
      <c r="J209" s="3"/>
      <c r="K209" s="3"/>
      <c r="L209" s="3"/>
      <c r="M209" s="3"/>
    </row>
    <row r="210" ht="15.75" customHeight="1">
      <c r="A210" s="3"/>
      <c r="B210" s="3"/>
      <c r="C210" s="3"/>
      <c r="D210" s="3"/>
      <c r="E210" s="3"/>
      <c r="F210" s="3"/>
      <c r="G210" s="3"/>
      <c r="H210" s="3"/>
      <c r="I210" s="3"/>
      <c r="J210" s="3"/>
      <c r="K210" s="3"/>
      <c r="L210" s="3"/>
      <c r="M210" s="3"/>
    </row>
    <row r="211" ht="15.75" customHeight="1">
      <c r="A211" s="3"/>
      <c r="B211" s="3"/>
      <c r="C211" s="3"/>
      <c r="D211" s="3"/>
      <c r="E211" s="3"/>
      <c r="F211" s="3"/>
      <c r="G211" s="3"/>
      <c r="H211" s="3"/>
      <c r="I211" s="3"/>
      <c r="J211" s="3"/>
      <c r="K211" s="3"/>
      <c r="L211" s="3"/>
      <c r="M211" s="3"/>
    </row>
    <row r="212" ht="15.75" customHeight="1">
      <c r="A212" s="3"/>
      <c r="B212" s="3"/>
      <c r="C212" s="3"/>
      <c r="D212" s="3"/>
      <c r="E212" s="3"/>
      <c r="F212" s="3"/>
      <c r="G212" s="3"/>
      <c r="H212" s="3"/>
      <c r="I212" s="3"/>
      <c r="J212" s="3"/>
      <c r="K212" s="3"/>
      <c r="L212" s="3"/>
      <c r="M212" s="3"/>
    </row>
    <row r="213" ht="15.75" customHeight="1">
      <c r="A213" s="3"/>
      <c r="B213" s="3"/>
      <c r="C213" s="3"/>
      <c r="D213" s="3"/>
      <c r="E213" s="3"/>
      <c r="F213" s="3"/>
      <c r="G213" s="3"/>
      <c r="H213" s="3"/>
      <c r="I213" s="3"/>
      <c r="J213" s="3"/>
      <c r="K213" s="3"/>
      <c r="L213" s="3"/>
      <c r="M213" s="3"/>
    </row>
    <row r="214" ht="15.75" customHeight="1">
      <c r="A214" s="3"/>
      <c r="B214" s="3"/>
      <c r="C214" s="3"/>
      <c r="D214" s="3"/>
      <c r="E214" s="3"/>
      <c r="F214" s="3"/>
      <c r="G214" s="3"/>
      <c r="H214" s="3"/>
      <c r="I214" s="3"/>
      <c r="J214" s="3"/>
      <c r="K214" s="3"/>
      <c r="L214" s="3"/>
      <c r="M214" s="3"/>
    </row>
    <row r="215" ht="15.75" customHeight="1">
      <c r="A215" s="3"/>
      <c r="B215" s="3"/>
      <c r="C215" s="3"/>
      <c r="D215" s="3"/>
      <c r="E215" s="3"/>
      <c r="F215" s="3"/>
      <c r="G215" s="3"/>
      <c r="H215" s="3"/>
      <c r="I215" s="3"/>
      <c r="J215" s="3"/>
      <c r="K215" s="3"/>
      <c r="L215" s="3"/>
      <c r="M215" s="3"/>
    </row>
    <row r="216" ht="15.75" customHeight="1">
      <c r="A216" s="3"/>
      <c r="B216" s="3"/>
      <c r="C216" s="3"/>
      <c r="D216" s="3"/>
      <c r="E216" s="3"/>
      <c r="F216" s="3"/>
      <c r="G216" s="3"/>
      <c r="H216" s="3"/>
      <c r="I216" s="3"/>
      <c r="J216" s="3"/>
      <c r="K216" s="3"/>
      <c r="L216" s="3"/>
      <c r="M216" s="3"/>
    </row>
    <row r="217" ht="15.75" customHeight="1">
      <c r="A217" s="3"/>
      <c r="B217" s="3"/>
      <c r="C217" s="3"/>
      <c r="D217" s="3"/>
      <c r="E217" s="3"/>
      <c r="F217" s="3"/>
      <c r="G217" s="3"/>
      <c r="H217" s="3"/>
      <c r="I217" s="3"/>
      <c r="J217" s="3"/>
      <c r="K217" s="3"/>
      <c r="L217" s="3"/>
      <c r="M217" s="3"/>
    </row>
    <row r="218" ht="15.75" customHeight="1">
      <c r="A218" s="3"/>
      <c r="B218" s="3"/>
      <c r="C218" s="3"/>
      <c r="D218" s="3"/>
      <c r="E218" s="3"/>
      <c r="F218" s="3"/>
      <c r="G218" s="3"/>
      <c r="H218" s="3"/>
      <c r="I218" s="3"/>
      <c r="J218" s="3"/>
      <c r="K218" s="3"/>
      <c r="L218" s="3"/>
      <c r="M218" s="3"/>
    </row>
    <row r="219" ht="15.75" customHeight="1">
      <c r="A219" s="3"/>
      <c r="B219" s="3"/>
      <c r="C219" s="3"/>
      <c r="D219" s="3"/>
      <c r="E219" s="3"/>
      <c r="F219" s="3"/>
      <c r="G219" s="3"/>
      <c r="H219" s="3"/>
      <c r="I219" s="3"/>
      <c r="J219" s="3"/>
      <c r="K219" s="3"/>
      <c r="L219" s="3"/>
      <c r="M219" s="3"/>
    </row>
    <row r="220" ht="15.75" customHeight="1">
      <c r="A220" s="3"/>
      <c r="B220" s="3"/>
      <c r="C220" s="3"/>
      <c r="D220" s="3"/>
      <c r="E220" s="3"/>
      <c r="F220" s="3"/>
      <c r="G220" s="3"/>
      <c r="H220" s="3"/>
      <c r="I220" s="3"/>
      <c r="J220" s="3"/>
      <c r="K220" s="3"/>
      <c r="L220" s="3"/>
      <c r="M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dataValidations>
    <dataValidation type="list" allowBlank="1" sqref="M2:M34">
      <formula1>"Not Executed,Passed,Failed,Blocked"</formula1>
    </dataValidation>
    <dataValidation type="list" allowBlank="1" sqref="L2:L34">
      <formula1>"Automation,Manual"</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4.0"/>
    <col customWidth="1" min="3" max="3" width="14.0"/>
    <col customWidth="1" min="4" max="4" width="30.0"/>
    <col customWidth="1" min="5" max="5" width="10.0"/>
    <col customWidth="1" min="6" max="6" width="40.0"/>
    <col customWidth="1" min="7" max="7" width="32.0"/>
    <col customWidth="1" min="8" max="8" width="34.0"/>
    <col customWidth="1" min="9" max="9" width="55.0"/>
    <col customWidth="1" min="10" max="10" width="45.0"/>
    <col customWidth="1" min="11" max="11" width="30.0"/>
    <col customWidth="1" min="12" max="12" width="12.0"/>
    <col customWidth="1" min="13" max="13" width="13.0"/>
    <col customWidth="1" min="14" max="14" width="14.0"/>
    <col customWidth="1" min="15" max="26" width="8.71"/>
  </cols>
  <sheetData>
    <row r="1" ht="19.5" customHeight="1">
      <c r="A1" s="27" t="s">
        <v>223</v>
      </c>
      <c r="B1" s="27" t="s">
        <v>675</v>
      </c>
      <c r="C1" s="27" t="s">
        <v>30</v>
      </c>
      <c r="D1" s="27" t="s">
        <v>224</v>
      </c>
      <c r="E1" s="27" t="s">
        <v>225</v>
      </c>
      <c r="F1" s="27" t="s">
        <v>226</v>
      </c>
      <c r="G1" s="27" t="s">
        <v>227</v>
      </c>
      <c r="H1" s="27" t="s">
        <v>228</v>
      </c>
      <c r="I1" s="27" t="s">
        <v>229</v>
      </c>
      <c r="J1" s="27" t="s">
        <v>230</v>
      </c>
      <c r="K1" s="27" t="s">
        <v>231</v>
      </c>
      <c r="L1" s="27" t="s">
        <v>232</v>
      </c>
      <c r="M1" s="27" t="s">
        <v>233</v>
      </c>
      <c r="N1" s="27" t="s">
        <v>234</v>
      </c>
    </row>
    <row r="2" ht="87.0" customHeight="1">
      <c r="A2" s="20" t="s">
        <v>676</v>
      </c>
      <c r="B2" s="20" t="s">
        <v>677</v>
      </c>
      <c r="C2" s="20" t="s">
        <v>667</v>
      </c>
      <c r="D2" s="20" t="s">
        <v>237</v>
      </c>
      <c r="E2" s="20" t="s">
        <v>238</v>
      </c>
      <c r="F2" s="20" t="s">
        <v>678</v>
      </c>
      <c r="G2" s="20" t="s">
        <v>679</v>
      </c>
      <c r="H2" s="20" t="s">
        <v>680</v>
      </c>
      <c r="I2" s="20" t="s">
        <v>681</v>
      </c>
      <c r="J2" s="20" t="s">
        <v>682</v>
      </c>
      <c r="K2" s="20" t="s">
        <v>683</v>
      </c>
      <c r="L2" s="20" t="s">
        <v>244</v>
      </c>
      <c r="M2" s="20" t="s">
        <v>245</v>
      </c>
      <c r="N2" s="20" t="s">
        <v>684</v>
      </c>
    </row>
    <row r="3" ht="46.5" customHeight="1">
      <c r="A3" s="20" t="s">
        <v>685</v>
      </c>
      <c r="B3" s="20" t="s">
        <v>686</v>
      </c>
      <c r="C3" s="20" t="s">
        <v>667</v>
      </c>
      <c r="D3" s="20" t="s">
        <v>237</v>
      </c>
      <c r="E3" s="20" t="s">
        <v>248</v>
      </c>
      <c r="F3" s="20" t="s">
        <v>249</v>
      </c>
      <c r="G3" s="20" t="s">
        <v>687</v>
      </c>
      <c r="H3" s="20" t="s">
        <v>11</v>
      </c>
      <c r="I3" s="20" t="s">
        <v>688</v>
      </c>
      <c r="J3" s="20" t="s">
        <v>689</v>
      </c>
      <c r="K3" s="20" t="s">
        <v>253</v>
      </c>
      <c r="L3" s="20" t="s">
        <v>254</v>
      </c>
      <c r="M3" s="20" t="s">
        <v>245</v>
      </c>
      <c r="N3" s="20" t="s">
        <v>684</v>
      </c>
    </row>
    <row r="4" ht="33.0" customHeight="1">
      <c r="A4" s="20" t="s">
        <v>690</v>
      </c>
      <c r="B4" s="20" t="s">
        <v>691</v>
      </c>
      <c r="C4" s="20" t="s">
        <v>667</v>
      </c>
      <c r="D4" s="20" t="s">
        <v>237</v>
      </c>
      <c r="E4" s="20" t="s">
        <v>248</v>
      </c>
      <c r="F4" s="20" t="s">
        <v>692</v>
      </c>
      <c r="G4" s="20" t="s">
        <v>33</v>
      </c>
      <c r="H4" s="20" t="s">
        <v>14</v>
      </c>
      <c r="I4" s="20" t="s">
        <v>693</v>
      </c>
      <c r="J4" s="20" t="s">
        <v>694</v>
      </c>
      <c r="K4" s="20" t="s">
        <v>259</v>
      </c>
      <c r="L4" s="20" t="s">
        <v>244</v>
      </c>
      <c r="M4" s="20" t="s">
        <v>245</v>
      </c>
      <c r="N4" s="20" t="s">
        <v>684</v>
      </c>
    </row>
    <row r="5" ht="73.5" customHeight="1">
      <c r="A5" s="20" t="s">
        <v>695</v>
      </c>
      <c r="B5" s="20" t="s">
        <v>696</v>
      </c>
      <c r="C5" s="20" t="s">
        <v>667</v>
      </c>
      <c r="D5" s="20" t="s">
        <v>261</v>
      </c>
      <c r="E5" s="20" t="s">
        <v>248</v>
      </c>
      <c r="F5" s="20" t="s">
        <v>697</v>
      </c>
      <c r="G5" s="20" t="s">
        <v>33</v>
      </c>
      <c r="H5" s="20" t="s">
        <v>698</v>
      </c>
      <c r="I5" s="20" t="s">
        <v>699</v>
      </c>
      <c r="J5" s="20" t="s">
        <v>700</v>
      </c>
      <c r="K5" s="20" t="s">
        <v>701</v>
      </c>
      <c r="L5" s="20" t="s">
        <v>254</v>
      </c>
      <c r="M5" s="20" t="s">
        <v>245</v>
      </c>
      <c r="N5" s="20" t="s">
        <v>246</v>
      </c>
    </row>
    <row r="6" ht="46.5" customHeight="1">
      <c r="A6" s="20" t="s">
        <v>703</v>
      </c>
      <c r="B6" s="20" t="s">
        <v>704</v>
      </c>
      <c r="C6" s="20" t="s">
        <v>667</v>
      </c>
      <c r="D6" s="20" t="s">
        <v>705</v>
      </c>
      <c r="E6" s="20" t="s">
        <v>238</v>
      </c>
      <c r="F6" s="20" t="s">
        <v>706</v>
      </c>
      <c r="G6" s="20" t="s">
        <v>707</v>
      </c>
      <c r="H6" s="20" t="s">
        <v>708</v>
      </c>
      <c r="I6" s="20" t="s">
        <v>709</v>
      </c>
      <c r="J6" s="20" t="s">
        <v>710</v>
      </c>
      <c r="K6" s="20" t="s">
        <v>33</v>
      </c>
      <c r="L6" s="20" t="s">
        <v>244</v>
      </c>
      <c r="M6" s="20" t="s">
        <v>245</v>
      </c>
      <c r="N6" s="20" t="s">
        <v>684</v>
      </c>
    </row>
    <row r="7" ht="60.0" customHeight="1">
      <c r="A7" s="20" t="s">
        <v>711</v>
      </c>
      <c r="B7" s="20" t="s">
        <v>712</v>
      </c>
      <c r="C7" s="20" t="s">
        <v>667</v>
      </c>
      <c r="D7" s="20" t="s">
        <v>713</v>
      </c>
      <c r="E7" s="20" t="s">
        <v>238</v>
      </c>
      <c r="F7" s="20" t="s">
        <v>714</v>
      </c>
      <c r="G7" s="20" t="s">
        <v>33</v>
      </c>
      <c r="H7" s="20" t="s">
        <v>715</v>
      </c>
      <c r="I7" s="20" t="s">
        <v>716</v>
      </c>
      <c r="J7" s="20" t="s">
        <v>717</v>
      </c>
      <c r="K7" s="20" t="s">
        <v>33</v>
      </c>
      <c r="L7" s="20" t="s">
        <v>244</v>
      </c>
      <c r="M7" s="20" t="s">
        <v>245</v>
      </c>
      <c r="N7" s="20" t="s">
        <v>684</v>
      </c>
    </row>
    <row r="8" ht="100.5" customHeight="1">
      <c r="A8" s="20" t="s">
        <v>718</v>
      </c>
      <c r="B8" s="20" t="s">
        <v>719</v>
      </c>
      <c r="C8" s="20" t="s">
        <v>667</v>
      </c>
      <c r="D8" s="20" t="s">
        <v>720</v>
      </c>
      <c r="E8" s="20" t="s">
        <v>238</v>
      </c>
      <c r="F8" s="20" t="s">
        <v>721</v>
      </c>
      <c r="G8" s="20" t="s">
        <v>722</v>
      </c>
      <c r="H8" s="20" t="s">
        <v>723</v>
      </c>
      <c r="I8" s="20" t="s">
        <v>724</v>
      </c>
      <c r="J8" s="20" t="s">
        <v>725</v>
      </c>
      <c r="K8" s="20" t="s">
        <v>726</v>
      </c>
      <c r="L8" s="20" t="s">
        <v>244</v>
      </c>
      <c r="M8" s="20" t="s">
        <v>245</v>
      </c>
      <c r="N8" s="20" t="s">
        <v>246</v>
      </c>
    </row>
    <row r="9" ht="46.5" customHeight="1">
      <c r="A9" s="20" t="s">
        <v>727</v>
      </c>
      <c r="B9" s="20" t="s">
        <v>728</v>
      </c>
      <c r="C9" s="20" t="s">
        <v>667</v>
      </c>
      <c r="D9" s="20" t="s">
        <v>720</v>
      </c>
      <c r="E9" s="20" t="s">
        <v>248</v>
      </c>
      <c r="F9" s="20" t="s">
        <v>721</v>
      </c>
      <c r="G9" s="20" t="s">
        <v>729</v>
      </c>
      <c r="H9" s="20" t="s">
        <v>730</v>
      </c>
      <c r="I9" s="20" t="s">
        <v>731</v>
      </c>
      <c r="J9" s="20" t="s">
        <v>732</v>
      </c>
      <c r="K9" s="20" t="s">
        <v>33</v>
      </c>
      <c r="L9" s="20" t="s">
        <v>254</v>
      </c>
      <c r="M9" s="20" t="s">
        <v>245</v>
      </c>
      <c r="N9" s="20" t="s">
        <v>246</v>
      </c>
    </row>
    <row r="10" ht="60.0" customHeight="1">
      <c r="A10" s="20" t="s">
        <v>733</v>
      </c>
      <c r="B10" s="20" t="s">
        <v>734</v>
      </c>
      <c r="C10" s="20" t="s">
        <v>667</v>
      </c>
      <c r="D10" s="20" t="s">
        <v>735</v>
      </c>
      <c r="E10" s="20" t="s">
        <v>248</v>
      </c>
      <c r="F10" s="20" t="s">
        <v>737</v>
      </c>
      <c r="G10" s="20" t="s">
        <v>738</v>
      </c>
      <c r="H10" s="20" t="s">
        <v>739</v>
      </c>
      <c r="I10" s="20" t="s">
        <v>740</v>
      </c>
      <c r="J10" s="20" t="s">
        <v>741</v>
      </c>
      <c r="K10" s="20" t="s">
        <v>33</v>
      </c>
      <c r="L10" s="20" t="s">
        <v>254</v>
      </c>
      <c r="M10" s="20" t="s">
        <v>245</v>
      </c>
      <c r="N10" s="20" t="s">
        <v>246</v>
      </c>
    </row>
    <row r="11" ht="60.0" customHeight="1">
      <c r="A11" s="20" t="s">
        <v>742</v>
      </c>
      <c r="B11" s="20" t="s">
        <v>743</v>
      </c>
      <c r="C11" s="20" t="s">
        <v>667</v>
      </c>
      <c r="D11" s="20" t="s">
        <v>735</v>
      </c>
      <c r="E11" s="20" t="s">
        <v>248</v>
      </c>
      <c r="F11" s="20" t="s">
        <v>737</v>
      </c>
      <c r="G11" s="20" t="s">
        <v>744</v>
      </c>
      <c r="H11" s="20" t="s">
        <v>739</v>
      </c>
      <c r="I11" s="20" t="s">
        <v>745</v>
      </c>
      <c r="J11" s="20" t="s">
        <v>746</v>
      </c>
      <c r="K11" s="20" t="s">
        <v>33</v>
      </c>
      <c r="L11" s="20" t="s">
        <v>254</v>
      </c>
      <c r="M11" s="20" t="s">
        <v>245</v>
      </c>
      <c r="N11" s="20" t="s">
        <v>246</v>
      </c>
    </row>
    <row r="12" ht="73.5" customHeight="1">
      <c r="A12" s="20" t="s">
        <v>748</v>
      </c>
      <c r="B12" s="20" t="s">
        <v>749</v>
      </c>
      <c r="C12" s="20" t="s">
        <v>667</v>
      </c>
      <c r="D12" s="20" t="s">
        <v>735</v>
      </c>
      <c r="E12" s="20" t="s">
        <v>304</v>
      </c>
      <c r="F12" s="20" t="s">
        <v>750</v>
      </c>
      <c r="G12" s="20" t="s">
        <v>33</v>
      </c>
      <c r="H12" s="20" t="s">
        <v>751</v>
      </c>
      <c r="I12" s="28" t="s">
        <v>752</v>
      </c>
      <c r="J12" s="28" t="s">
        <v>753</v>
      </c>
      <c r="K12" s="20" t="s">
        <v>33</v>
      </c>
      <c r="L12" s="20" t="s">
        <v>254</v>
      </c>
      <c r="M12" s="20" t="s">
        <v>245</v>
      </c>
      <c r="N12" s="20" t="s">
        <v>246</v>
      </c>
    </row>
    <row r="13" ht="100.5" customHeight="1">
      <c r="A13" s="20" t="s">
        <v>755</v>
      </c>
      <c r="B13" s="20" t="s">
        <v>757</v>
      </c>
      <c r="C13" s="20" t="s">
        <v>667</v>
      </c>
      <c r="D13" s="20" t="s">
        <v>758</v>
      </c>
      <c r="E13" s="20" t="s">
        <v>238</v>
      </c>
      <c r="F13" s="20" t="s">
        <v>759</v>
      </c>
      <c r="G13" s="20" t="s">
        <v>760</v>
      </c>
      <c r="H13" s="20" t="s">
        <v>761</v>
      </c>
      <c r="I13" s="20" t="s">
        <v>762</v>
      </c>
      <c r="J13" s="20" t="s">
        <v>763</v>
      </c>
      <c r="K13" s="20" t="s">
        <v>764</v>
      </c>
      <c r="L13" s="20" t="s">
        <v>244</v>
      </c>
      <c r="M13" s="20" t="s">
        <v>245</v>
      </c>
      <c r="N13" s="20" t="s">
        <v>246</v>
      </c>
    </row>
    <row r="14" ht="100.5" customHeight="1">
      <c r="A14" s="20" t="s">
        <v>766</v>
      </c>
      <c r="B14" s="20" t="s">
        <v>767</v>
      </c>
      <c r="C14" s="20" t="s">
        <v>667</v>
      </c>
      <c r="D14" s="20" t="s">
        <v>758</v>
      </c>
      <c r="E14" s="20" t="s">
        <v>238</v>
      </c>
      <c r="F14" s="20" t="s">
        <v>768</v>
      </c>
      <c r="G14" s="20" t="s">
        <v>769</v>
      </c>
      <c r="H14" s="20" t="s">
        <v>761</v>
      </c>
      <c r="I14" s="20" t="s">
        <v>771</v>
      </c>
      <c r="J14" s="20" t="s">
        <v>772</v>
      </c>
      <c r="K14" s="20" t="s">
        <v>764</v>
      </c>
      <c r="L14" s="20" t="s">
        <v>244</v>
      </c>
      <c r="M14" s="20" t="s">
        <v>245</v>
      </c>
      <c r="N14" s="20" t="s">
        <v>246</v>
      </c>
    </row>
    <row r="15" ht="100.5" customHeight="1">
      <c r="A15" s="20" t="s">
        <v>773</v>
      </c>
      <c r="B15" s="20" t="s">
        <v>774</v>
      </c>
      <c r="C15" s="20" t="s">
        <v>667</v>
      </c>
      <c r="D15" s="20" t="s">
        <v>758</v>
      </c>
      <c r="E15" s="20" t="s">
        <v>248</v>
      </c>
      <c r="F15" s="20" t="s">
        <v>775</v>
      </c>
      <c r="G15" s="20" t="s">
        <v>776</v>
      </c>
      <c r="H15" s="20" t="s">
        <v>761</v>
      </c>
      <c r="I15" s="20" t="s">
        <v>777</v>
      </c>
      <c r="J15" s="20" t="s">
        <v>778</v>
      </c>
      <c r="K15" s="20" t="s">
        <v>764</v>
      </c>
      <c r="L15" s="20" t="s">
        <v>254</v>
      </c>
      <c r="M15" s="20" t="s">
        <v>245</v>
      </c>
      <c r="N15" s="20" t="s">
        <v>246</v>
      </c>
    </row>
    <row r="16" ht="60.0" customHeight="1">
      <c r="A16" s="20" t="s">
        <v>779</v>
      </c>
      <c r="B16" s="20" t="s">
        <v>780</v>
      </c>
      <c r="C16" s="20" t="s">
        <v>667</v>
      </c>
      <c r="D16" s="20" t="s">
        <v>758</v>
      </c>
      <c r="E16" s="20" t="s">
        <v>248</v>
      </c>
      <c r="F16" s="20" t="s">
        <v>781</v>
      </c>
      <c r="G16" s="20" t="s">
        <v>782</v>
      </c>
      <c r="H16" s="20" t="s">
        <v>761</v>
      </c>
      <c r="I16" s="20" t="s">
        <v>783</v>
      </c>
      <c r="J16" s="20" t="s">
        <v>784</v>
      </c>
      <c r="K16" s="20" t="s">
        <v>764</v>
      </c>
      <c r="L16" s="20" t="s">
        <v>254</v>
      </c>
      <c r="M16" s="20" t="s">
        <v>245</v>
      </c>
      <c r="N16" s="20" t="s">
        <v>246</v>
      </c>
    </row>
    <row r="17" ht="100.5" customHeight="1">
      <c r="A17" s="20" t="s">
        <v>785</v>
      </c>
      <c r="B17" s="20" t="s">
        <v>786</v>
      </c>
      <c r="C17" s="20" t="s">
        <v>667</v>
      </c>
      <c r="D17" s="20" t="s">
        <v>758</v>
      </c>
      <c r="E17" s="20" t="s">
        <v>248</v>
      </c>
      <c r="F17" s="20" t="s">
        <v>787</v>
      </c>
      <c r="G17" s="20" t="s">
        <v>788</v>
      </c>
      <c r="H17" s="20" t="s">
        <v>761</v>
      </c>
      <c r="I17" s="20" t="s">
        <v>789</v>
      </c>
      <c r="J17" s="20" t="s">
        <v>790</v>
      </c>
      <c r="K17" s="20" t="s">
        <v>764</v>
      </c>
      <c r="L17" s="20" t="s">
        <v>254</v>
      </c>
      <c r="M17" s="20" t="s">
        <v>245</v>
      </c>
      <c r="N17" s="20" t="s">
        <v>246</v>
      </c>
    </row>
    <row r="18" ht="73.5" customHeight="1">
      <c r="A18" s="20" t="s">
        <v>791</v>
      </c>
      <c r="B18" s="20" t="s">
        <v>792</v>
      </c>
      <c r="C18" s="20" t="s">
        <v>667</v>
      </c>
      <c r="D18" s="20" t="s">
        <v>793</v>
      </c>
      <c r="E18" s="20" t="s">
        <v>238</v>
      </c>
      <c r="F18" s="20" t="s">
        <v>794</v>
      </c>
      <c r="G18" s="20" t="s">
        <v>795</v>
      </c>
      <c r="H18" s="20" t="s">
        <v>761</v>
      </c>
      <c r="I18" s="20" t="s">
        <v>796</v>
      </c>
      <c r="J18" s="20" t="s">
        <v>797</v>
      </c>
      <c r="K18" s="20" t="s">
        <v>764</v>
      </c>
      <c r="L18" s="20" t="s">
        <v>244</v>
      </c>
      <c r="M18" s="20" t="s">
        <v>245</v>
      </c>
      <c r="N18" s="20" t="s">
        <v>246</v>
      </c>
    </row>
    <row r="19" ht="100.5" customHeight="1">
      <c r="A19" s="20" t="s">
        <v>798</v>
      </c>
      <c r="B19" s="20" t="s">
        <v>799</v>
      </c>
      <c r="C19" s="20" t="s">
        <v>667</v>
      </c>
      <c r="D19" s="20" t="s">
        <v>793</v>
      </c>
      <c r="E19" s="20" t="s">
        <v>248</v>
      </c>
      <c r="F19" s="20" t="s">
        <v>794</v>
      </c>
      <c r="G19" s="20" t="s">
        <v>800</v>
      </c>
      <c r="H19" s="20" t="s">
        <v>761</v>
      </c>
      <c r="I19" s="20" t="s">
        <v>801</v>
      </c>
      <c r="J19" s="20" t="s">
        <v>802</v>
      </c>
      <c r="K19" s="20" t="s">
        <v>764</v>
      </c>
      <c r="L19" s="20" t="s">
        <v>244</v>
      </c>
      <c r="M19" s="20" t="s">
        <v>245</v>
      </c>
      <c r="N19" s="20" t="s">
        <v>246</v>
      </c>
    </row>
    <row r="20" ht="114.0" customHeight="1">
      <c r="A20" s="20" t="s">
        <v>803</v>
      </c>
      <c r="B20" s="20" t="s">
        <v>804</v>
      </c>
      <c r="C20" s="20" t="s">
        <v>667</v>
      </c>
      <c r="D20" s="20" t="s">
        <v>793</v>
      </c>
      <c r="E20" s="20" t="s">
        <v>248</v>
      </c>
      <c r="F20" s="20" t="s">
        <v>805</v>
      </c>
      <c r="G20" s="20" t="s">
        <v>806</v>
      </c>
      <c r="H20" s="20" t="s">
        <v>761</v>
      </c>
      <c r="I20" s="20" t="s">
        <v>807</v>
      </c>
      <c r="J20" s="20" t="s">
        <v>808</v>
      </c>
      <c r="K20" s="20" t="s">
        <v>764</v>
      </c>
      <c r="L20" s="20" t="s">
        <v>254</v>
      </c>
      <c r="M20" s="20" t="s">
        <v>245</v>
      </c>
      <c r="N20" s="20" t="s">
        <v>246</v>
      </c>
    </row>
    <row r="21" ht="100.5" customHeight="1">
      <c r="A21" s="20" t="s">
        <v>809</v>
      </c>
      <c r="B21" s="20" t="s">
        <v>810</v>
      </c>
      <c r="C21" s="20" t="s">
        <v>667</v>
      </c>
      <c r="D21" s="20" t="s">
        <v>793</v>
      </c>
      <c r="E21" s="20" t="s">
        <v>238</v>
      </c>
      <c r="F21" s="20" t="s">
        <v>811</v>
      </c>
      <c r="G21" s="20" t="s">
        <v>812</v>
      </c>
      <c r="H21" s="20" t="s">
        <v>761</v>
      </c>
      <c r="I21" s="20" t="s">
        <v>813</v>
      </c>
      <c r="J21" s="20" t="s">
        <v>814</v>
      </c>
      <c r="K21" s="20" t="s">
        <v>764</v>
      </c>
      <c r="L21" s="20" t="s">
        <v>244</v>
      </c>
      <c r="M21" s="20" t="s">
        <v>245</v>
      </c>
      <c r="N21" s="20" t="s">
        <v>246</v>
      </c>
    </row>
    <row r="22" ht="73.5" customHeight="1">
      <c r="A22" s="20" t="s">
        <v>815</v>
      </c>
      <c r="B22" s="20" t="s">
        <v>816</v>
      </c>
      <c r="C22" s="20" t="s">
        <v>667</v>
      </c>
      <c r="D22" s="20" t="s">
        <v>793</v>
      </c>
      <c r="E22" s="20" t="s">
        <v>304</v>
      </c>
      <c r="F22" s="20" t="s">
        <v>794</v>
      </c>
      <c r="G22" s="20" t="s">
        <v>817</v>
      </c>
      <c r="H22" s="20" t="s">
        <v>761</v>
      </c>
      <c r="I22" s="20" t="s">
        <v>818</v>
      </c>
      <c r="J22" s="20" t="s">
        <v>819</v>
      </c>
      <c r="K22" s="20" t="s">
        <v>764</v>
      </c>
      <c r="L22" s="20" t="s">
        <v>254</v>
      </c>
      <c r="M22" s="20" t="s">
        <v>245</v>
      </c>
      <c r="N22" s="20" t="s">
        <v>246</v>
      </c>
    </row>
    <row r="23" ht="87.0" customHeight="1">
      <c r="A23" s="20" t="s">
        <v>820</v>
      </c>
      <c r="B23" s="20" t="s">
        <v>821</v>
      </c>
      <c r="C23" s="20" t="s">
        <v>667</v>
      </c>
      <c r="D23" s="20" t="s">
        <v>793</v>
      </c>
      <c r="E23" s="20" t="s">
        <v>304</v>
      </c>
      <c r="F23" s="20" t="s">
        <v>822</v>
      </c>
      <c r="G23" s="20" t="s">
        <v>823</v>
      </c>
      <c r="H23" s="20" t="s">
        <v>761</v>
      </c>
      <c r="I23" s="20" t="s">
        <v>824</v>
      </c>
      <c r="J23" s="20" t="s">
        <v>825</v>
      </c>
      <c r="K23" s="20" t="s">
        <v>764</v>
      </c>
      <c r="L23" s="20" t="s">
        <v>254</v>
      </c>
      <c r="M23" s="20" t="s">
        <v>245</v>
      </c>
      <c r="N23" s="20" t="s">
        <v>246</v>
      </c>
    </row>
    <row r="24" ht="100.5" customHeight="1">
      <c r="A24" s="20" t="s">
        <v>826</v>
      </c>
      <c r="B24" s="20" t="s">
        <v>827</v>
      </c>
      <c r="C24" s="20" t="s">
        <v>667</v>
      </c>
      <c r="D24" s="20" t="s">
        <v>828</v>
      </c>
      <c r="E24" s="20" t="s">
        <v>248</v>
      </c>
      <c r="F24" s="20" t="s">
        <v>829</v>
      </c>
      <c r="G24" s="20" t="s">
        <v>830</v>
      </c>
      <c r="H24" s="20" t="s">
        <v>761</v>
      </c>
      <c r="I24" s="20" t="s">
        <v>831</v>
      </c>
      <c r="J24" s="20" t="s">
        <v>832</v>
      </c>
      <c r="K24" s="20" t="s">
        <v>764</v>
      </c>
      <c r="L24" s="20" t="s">
        <v>254</v>
      </c>
      <c r="M24" s="20" t="s">
        <v>245</v>
      </c>
      <c r="N24" s="20" t="s">
        <v>246</v>
      </c>
    </row>
    <row r="25" ht="73.5" customHeight="1">
      <c r="A25" s="20" t="s">
        <v>833</v>
      </c>
      <c r="B25" s="20" t="s">
        <v>834</v>
      </c>
      <c r="C25" s="20" t="s">
        <v>667</v>
      </c>
      <c r="D25" s="20" t="s">
        <v>828</v>
      </c>
      <c r="E25" s="20" t="s">
        <v>248</v>
      </c>
      <c r="F25" s="20" t="s">
        <v>835</v>
      </c>
      <c r="G25" s="20" t="s">
        <v>836</v>
      </c>
      <c r="H25" s="20" t="s">
        <v>761</v>
      </c>
      <c r="I25" s="20" t="s">
        <v>837</v>
      </c>
      <c r="J25" s="20" t="s">
        <v>838</v>
      </c>
      <c r="K25" s="20" t="s">
        <v>764</v>
      </c>
      <c r="L25" s="20" t="s">
        <v>254</v>
      </c>
      <c r="M25" s="20" t="s">
        <v>245</v>
      </c>
      <c r="N25" s="20" t="s">
        <v>246</v>
      </c>
    </row>
    <row r="26" ht="87.0" customHeight="1">
      <c r="A26" s="20" t="s">
        <v>839</v>
      </c>
      <c r="B26" s="20" t="s">
        <v>840</v>
      </c>
      <c r="C26" s="20" t="s">
        <v>667</v>
      </c>
      <c r="D26" s="20" t="s">
        <v>828</v>
      </c>
      <c r="E26" s="20" t="s">
        <v>304</v>
      </c>
      <c r="F26" s="20" t="s">
        <v>841</v>
      </c>
      <c r="G26" s="20" t="s">
        <v>842</v>
      </c>
      <c r="H26" s="20" t="s">
        <v>761</v>
      </c>
      <c r="I26" s="20" t="s">
        <v>843</v>
      </c>
      <c r="J26" s="20" t="s">
        <v>844</v>
      </c>
      <c r="K26" s="20" t="s">
        <v>764</v>
      </c>
      <c r="L26" s="20" t="s">
        <v>254</v>
      </c>
      <c r="M26" s="20" t="s">
        <v>245</v>
      </c>
      <c r="N26" s="20" t="s">
        <v>246</v>
      </c>
    </row>
    <row r="27" ht="114.0" customHeight="1">
      <c r="A27" s="20" t="s">
        <v>845</v>
      </c>
      <c r="B27" s="20" t="s">
        <v>846</v>
      </c>
      <c r="C27" s="20" t="s">
        <v>667</v>
      </c>
      <c r="D27" s="20" t="s">
        <v>828</v>
      </c>
      <c r="E27" s="20" t="s">
        <v>304</v>
      </c>
      <c r="F27" s="20" t="s">
        <v>847</v>
      </c>
      <c r="G27" s="20" t="s">
        <v>848</v>
      </c>
      <c r="H27" s="20" t="s">
        <v>761</v>
      </c>
      <c r="I27" s="20" t="s">
        <v>849</v>
      </c>
      <c r="J27" s="20" t="s">
        <v>850</v>
      </c>
      <c r="K27" s="20" t="s">
        <v>764</v>
      </c>
      <c r="L27" s="20" t="s">
        <v>254</v>
      </c>
      <c r="M27" s="20" t="s">
        <v>245</v>
      </c>
      <c r="N27" s="20" t="s">
        <v>246</v>
      </c>
    </row>
    <row r="28" ht="87.0" customHeight="1">
      <c r="A28" s="20" t="s">
        <v>851</v>
      </c>
      <c r="B28" s="20" t="s">
        <v>852</v>
      </c>
      <c r="C28" s="20" t="s">
        <v>667</v>
      </c>
      <c r="D28" s="20" t="s">
        <v>853</v>
      </c>
      <c r="E28" s="20" t="s">
        <v>238</v>
      </c>
      <c r="F28" s="20" t="s">
        <v>759</v>
      </c>
      <c r="G28" s="20" t="s">
        <v>854</v>
      </c>
      <c r="H28" s="20" t="s">
        <v>761</v>
      </c>
      <c r="I28" s="20" t="s">
        <v>855</v>
      </c>
      <c r="J28" s="20" t="s">
        <v>856</v>
      </c>
      <c r="K28" s="20" t="s">
        <v>764</v>
      </c>
      <c r="L28" s="20" t="s">
        <v>244</v>
      </c>
      <c r="M28" s="20" t="s">
        <v>245</v>
      </c>
      <c r="N28" s="20" t="s">
        <v>246</v>
      </c>
    </row>
    <row r="29" ht="127.5" customHeight="1">
      <c r="A29" s="20" t="s">
        <v>857</v>
      </c>
      <c r="B29" s="20" t="s">
        <v>858</v>
      </c>
      <c r="C29" s="20" t="s">
        <v>667</v>
      </c>
      <c r="D29" s="20" t="s">
        <v>853</v>
      </c>
      <c r="E29" s="20" t="s">
        <v>238</v>
      </c>
      <c r="F29" s="20" t="s">
        <v>859</v>
      </c>
      <c r="G29" s="20" t="s">
        <v>860</v>
      </c>
      <c r="H29" s="20" t="s">
        <v>761</v>
      </c>
      <c r="I29" s="20" t="s">
        <v>861</v>
      </c>
      <c r="J29" s="20" t="s">
        <v>862</v>
      </c>
      <c r="K29" s="20" t="s">
        <v>764</v>
      </c>
      <c r="L29" s="20" t="s">
        <v>244</v>
      </c>
      <c r="M29" s="20" t="s">
        <v>245</v>
      </c>
      <c r="N29" s="20" t="s">
        <v>246</v>
      </c>
    </row>
    <row r="30" ht="87.0" customHeight="1">
      <c r="A30" s="20" t="s">
        <v>863</v>
      </c>
      <c r="B30" s="20" t="s">
        <v>864</v>
      </c>
      <c r="C30" s="20" t="s">
        <v>667</v>
      </c>
      <c r="D30" s="20" t="s">
        <v>853</v>
      </c>
      <c r="E30" s="20" t="s">
        <v>238</v>
      </c>
      <c r="F30" s="20" t="s">
        <v>865</v>
      </c>
      <c r="G30" s="20" t="s">
        <v>866</v>
      </c>
      <c r="H30" s="20" t="s">
        <v>761</v>
      </c>
      <c r="I30" s="20" t="s">
        <v>867</v>
      </c>
      <c r="J30" s="20" t="s">
        <v>868</v>
      </c>
      <c r="K30" s="20" t="s">
        <v>764</v>
      </c>
      <c r="L30" s="20" t="s">
        <v>254</v>
      </c>
      <c r="M30" s="20" t="s">
        <v>245</v>
      </c>
      <c r="N30" s="20" t="s">
        <v>246</v>
      </c>
    </row>
    <row r="31" ht="100.5" customHeight="1">
      <c r="A31" s="20" t="s">
        <v>869</v>
      </c>
      <c r="B31" s="20" t="s">
        <v>870</v>
      </c>
      <c r="C31" s="20" t="s">
        <v>667</v>
      </c>
      <c r="D31" s="20" t="s">
        <v>853</v>
      </c>
      <c r="E31" s="20" t="s">
        <v>248</v>
      </c>
      <c r="F31" s="20" t="s">
        <v>871</v>
      </c>
      <c r="G31" s="20" t="s">
        <v>872</v>
      </c>
      <c r="H31" s="20" t="s">
        <v>761</v>
      </c>
      <c r="I31" s="20" t="s">
        <v>873</v>
      </c>
      <c r="J31" s="20" t="s">
        <v>874</v>
      </c>
      <c r="K31" s="20" t="s">
        <v>764</v>
      </c>
      <c r="L31" s="20" t="s">
        <v>254</v>
      </c>
      <c r="M31" s="20" t="s">
        <v>245</v>
      </c>
      <c r="N31" s="20" t="s">
        <v>246</v>
      </c>
    </row>
    <row r="32" ht="87.0" customHeight="1">
      <c r="A32" s="20" t="s">
        <v>875</v>
      </c>
      <c r="B32" s="20" t="s">
        <v>876</v>
      </c>
      <c r="C32" s="20" t="s">
        <v>667</v>
      </c>
      <c r="D32" s="20" t="s">
        <v>877</v>
      </c>
      <c r="E32" s="20" t="s">
        <v>238</v>
      </c>
      <c r="F32" s="20" t="s">
        <v>878</v>
      </c>
      <c r="G32" s="20" t="s">
        <v>879</v>
      </c>
      <c r="H32" s="20" t="s">
        <v>761</v>
      </c>
      <c r="I32" s="20" t="s">
        <v>880</v>
      </c>
      <c r="J32" s="20" t="s">
        <v>881</v>
      </c>
      <c r="K32" s="20" t="s">
        <v>764</v>
      </c>
      <c r="L32" s="20" t="s">
        <v>244</v>
      </c>
      <c r="M32" s="20" t="s">
        <v>245</v>
      </c>
      <c r="N32" s="20" t="s">
        <v>246</v>
      </c>
    </row>
    <row r="33" ht="60.0" customHeight="1">
      <c r="A33" s="20" t="s">
        <v>882</v>
      </c>
      <c r="B33" s="20" t="s">
        <v>883</v>
      </c>
      <c r="C33" s="20" t="s">
        <v>667</v>
      </c>
      <c r="D33" s="20" t="s">
        <v>877</v>
      </c>
      <c r="E33" s="20" t="s">
        <v>248</v>
      </c>
      <c r="F33" s="20" t="s">
        <v>878</v>
      </c>
      <c r="G33" s="20" t="s">
        <v>884</v>
      </c>
      <c r="H33" s="20" t="s">
        <v>761</v>
      </c>
      <c r="I33" s="20" t="s">
        <v>885</v>
      </c>
      <c r="J33" s="20" t="s">
        <v>886</v>
      </c>
      <c r="K33" s="20" t="s">
        <v>764</v>
      </c>
      <c r="L33" s="20" t="s">
        <v>254</v>
      </c>
      <c r="M33" s="20" t="s">
        <v>245</v>
      </c>
      <c r="N33" s="20" t="s">
        <v>246</v>
      </c>
    </row>
    <row r="34" ht="100.5" customHeight="1">
      <c r="A34" s="20" t="s">
        <v>887</v>
      </c>
      <c r="B34" s="20" t="s">
        <v>888</v>
      </c>
      <c r="C34" s="20" t="s">
        <v>667</v>
      </c>
      <c r="D34" s="20" t="s">
        <v>877</v>
      </c>
      <c r="E34" s="20" t="s">
        <v>248</v>
      </c>
      <c r="F34" s="20" t="s">
        <v>878</v>
      </c>
      <c r="G34" s="20" t="s">
        <v>889</v>
      </c>
      <c r="H34" s="20" t="s">
        <v>890</v>
      </c>
      <c r="I34" s="20" t="s">
        <v>891</v>
      </c>
      <c r="J34" s="20" t="s">
        <v>892</v>
      </c>
      <c r="K34" s="20" t="s">
        <v>764</v>
      </c>
      <c r="L34" s="20" t="s">
        <v>254</v>
      </c>
      <c r="M34" s="20" t="s">
        <v>245</v>
      </c>
      <c r="N34" s="20" t="s">
        <v>246</v>
      </c>
    </row>
    <row r="35" ht="100.5" customHeight="1">
      <c r="A35" s="20" t="s">
        <v>893</v>
      </c>
      <c r="B35" s="20" t="s">
        <v>894</v>
      </c>
      <c r="C35" s="20" t="s">
        <v>667</v>
      </c>
      <c r="D35" s="20" t="s">
        <v>877</v>
      </c>
      <c r="E35" s="20" t="s">
        <v>304</v>
      </c>
      <c r="F35" s="20" t="s">
        <v>878</v>
      </c>
      <c r="G35" s="20" t="s">
        <v>895</v>
      </c>
      <c r="H35" s="20" t="s">
        <v>761</v>
      </c>
      <c r="I35" s="20" t="s">
        <v>896</v>
      </c>
      <c r="J35" s="20" t="s">
        <v>897</v>
      </c>
      <c r="K35" s="20" t="s">
        <v>764</v>
      </c>
      <c r="L35" s="20" t="s">
        <v>254</v>
      </c>
      <c r="M35" s="20" t="s">
        <v>245</v>
      </c>
      <c r="N35" s="20" t="s">
        <v>246</v>
      </c>
    </row>
    <row r="36" ht="87.0" customHeight="1">
      <c r="A36" s="20" t="s">
        <v>898</v>
      </c>
      <c r="B36" s="20" t="s">
        <v>899</v>
      </c>
      <c r="C36" s="20" t="s">
        <v>667</v>
      </c>
      <c r="D36" s="20" t="s">
        <v>877</v>
      </c>
      <c r="E36" s="20" t="s">
        <v>304</v>
      </c>
      <c r="F36" s="20" t="s">
        <v>878</v>
      </c>
      <c r="G36" s="20" t="s">
        <v>900</v>
      </c>
      <c r="H36" s="20" t="s">
        <v>761</v>
      </c>
      <c r="I36" s="20" t="s">
        <v>901</v>
      </c>
      <c r="J36" s="20" t="s">
        <v>902</v>
      </c>
      <c r="K36" s="20" t="s">
        <v>764</v>
      </c>
      <c r="L36" s="20" t="s">
        <v>244</v>
      </c>
      <c r="M36" s="20" t="s">
        <v>245</v>
      </c>
      <c r="N36" s="20" t="s">
        <v>246</v>
      </c>
    </row>
    <row r="37" ht="100.5" customHeight="1">
      <c r="A37" s="20" t="s">
        <v>903</v>
      </c>
      <c r="B37" s="20" t="s">
        <v>904</v>
      </c>
      <c r="C37" s="20" t="s">
        <v>667</v>
      </c>
      <c r="D37" s="20" t="s">
        <v>905</v>
      </c>
      <c r="E37" s="20" t="s">
        <v>248</v>
      </c>
      <c r="F37" s="20" t="s">
        <v>906</v>
      </c>
      <c r="G37" s="20" t="s">
        <v>907</v>
      </c>
      <c r="H37" s="20" t="s">
        <v>761</v>
      </c>
      <c r="I37" s="20" t="s">
        <v>908</v>
      </c>
      <c r="J37" s="20" t="s">
        <v>909</v>
      </c>
      <c r="K37" s="20" t="s">
        <v>764</v>
      </c>
      <c r="L37" s="20" t="s">
        <v>244</v>
      </c>
      <c r="M37" s="20" t="s">
        <v>245</v>
      </c>
      <c r="N37" s="20" t="s">
        <v>246</v>
      </c>
    </row>
    <row r="38" ht="73.5" customHeight="1">
      <c r="A38" s="20" t="s">
        <v>910</v>
      </c>
      <c r="B38" s="20" t="s">
        <v>911</v>
      </c>
      <c r="C38" s="20" t="s">
        <v>667</v>
      </c>
      <c r="D38" s="20" t="s">
        <v>905</v>
      </c>
      <c r="E38" s="20" t="s">
        <v>248</v>
      </c>
      <c r="F38" s="20" t="s">
        <v>912</v>
      </c>
      <c r="G38" s="20" t="s">
        <v>913</v>
      </c>
      <c r="H38" s="20" t="s">
        <v>761</v>
      </c>
      <c r="I38" s="20" t="s">
        <v>914</v>
      </c>
      <c r="J38" s="20" t="s">
        <v>915</v>
      </c>
      <c r="K38" s="20" t="s">
        <v>764</v>
      </c>
      <c r="L38" s="20" t="s">
        <v>254</v>
      </c>
      <c r="M38" s="20" t="s">
        <v>245</v>
      </c>
      <c r="N38" s="20" t="s">
        <v>246</v>
      </c>
    </row>
    <row r="39" ht="100.5" customHeight="1">
      <c r="A39" s="20" t="s">
        <v>916</v>
      </c>
      <c r="B39" s="20" t="s">
        <v>917</v>
      </c>
      <c r="C39" s="20" t="s">
        <v>667</v>
      </c>
      <c r="D39" s="20" t="s">
        <v>905</v>
      </c>
      <c r="E39" s="20" t="s">
        <v>304</v>
      </c>
      <c r="F39" s="20" t="s">
        <v>906</v>
      </c>
      <c r="G39" s="20" t="s">
        <v>918</v>
      </c>
      <c r="H39" s="20" t="s">
        <v>761</v>
      </c>
      <c r="I39" s="20" t="s">
        <v>919</v>
      </c>
      <c r="J39" s="20" t="s">
        <v>920</v>
      </c>
      <c r="K39" s="20" t="s">
        <v>764</v>
      </c>
      <c r="L39" s="20" t="s">
        <v>254</v>
      </c>
      <c r="M39" s="20" t="s">
        <v>245</v>
      </c>
      <c r="N39" s="20" t="s">
        <v>246</v>
      </c>
    </row>
    <row r="40" ht="114.0" customHeight="1">
      <c r="A40" s="20" t="s">
        <v>921</v>
      </c>
      <c r="B40" s="20" t="s">
        <v>922</v>
      </c>
      <c r="C40" s="20" t="s">
        <v>667</v>
      </c>
      <c r="D40" s="20" t="s">
        <v>905</v>
      </c>
      <c r="E40" s="20" t="s">
        <v>248</v>
      </c>
      <c r="F40" s="20" t="s">
        <v>906</v>
      </c>
      <c r="G40" s="20" t="s">
        <v>923</v>
      </c>
      <c r="H40" s="20" t="s">
        <v>761</v>
      </c>
      <c r="I40" s="20" t="s">
        <v>924</v>
      </c>
      <c r="J40" s="20" t="s">
        <v>925</v>
      </c>
      <c r="K40" s="20" t="s">
        <v>764</v>
      </c>
      <c r="L40" s="20" t="s">
        <v>254</v>
      </c>
      <c r="M40" s="20" t="s">
        <v>245</v>
      </c>
      <c r="N40" s="20" t="s">
        <v>246</v>
      </c>
    </row>
    <row r="41" ht="100.5" customHeight="1">
      <c r="A41" s="20" t="s">
        <v>926</v>
      </c>
      <c r="B41" s="20" t="s">
        <v>927</v>
      </c>
      <c r="C41" s="20" t="s">
        <v>667</v>
      </c>
      <c r="D41" s="20" t="s">
        <v>905</v>
      </c>
      <c r="E41" s="20" t="s">
        <v>304</v>
      </c>
      <c r="F41" s="20" t="s">
        <v>906</v>
      </c>
      <c r="G41" s="20" t="s">
        <v>928</v>
      </c>
      <c r="H41" s="20" t="s">
        <v>761</v>
      </c>
      <c r="I41" s="20" t="s">
        <v>929</v>
      </c>
      <c r="J41" s="20" t="s">
        <v>930</v>
      </c>
      <c r="K41" s="20" t="s">
        <v>764</v>
      </c>
      <c r="L41" s="20" t="s">
        <v>254</v>
      </c>
      <c r="M41" s="20" t="s">
        <v>245</v>
      </c>
      <c r="N41" s="20" t="s">
        <v>246</v>
      </c>
    </row>
    <row r="42" ht="127.5" customHeight="1">
      <c r="A42" s="20" t="s">
        <v>931</v>
      </c>
      <c r="B42" s="20" t="s">
        <v>932</v>
      </c>
      <c r="C42" s="20" t="s">
        <v>667</v>
      </c>
      <c r="D42" s="20" t="s">
        <v>905</v>
      </c>
      <c r="E42" s="20" t="s">
        <v>248</v>
      </c>
      <c r="F42" s="20" t="s">
        <v>933</v>
      </c>
      <c r="G42" s="20" t="s">
        <v>934</v>
      </c>
      <c r="H42" s="20" t="s">
        <v>761</v>
      </c>
      <c r="I42" s="20" t="s">
        <v>935</v>
      </c>
      <c r="J42" s="20" t="s">
        <v>936</v>
      </c>
      <c r="K42" s="20" t="s">
        <v>764</v>
      </c>
      <c r="L42" s="20" t="s">
        <v>254</v>
      </c>
      <c r="M42" s="20" t="s">
        <v>245</v>
      </c>
      <c r="N42" s="20" t="s">
        <v>246</v>
      </c>
    </row>
    <row r="43" ht="100.5" customHeight="1">
      <c r="A43" s="20" t="s">
        <v>937</v>
      </c>
      <c r="B43" s="20" t="s">
        <v>938</v>
      </c>
      <c r="C43" s="20" t="s">
        <v>667</v>
      </c>
      <c r="D43" s="20" t="s">
        <v>905</v>
      </c>
      <c r="E43" s="20" t="s">
        <v>248</v>
      </c>
      <c r="F43" s="20" t="s">
        <v>939</v>
      </c>
      <c r="G43" s="20" t="s">
        <v>940</v>
      </c>
      <c r="H43" s="20" t="s">
        <v>761</v>
      </c>
      <c r="I43" s="20" t="s">
        <v>941</v>
      </c>
      <c r="J43" s="20" t="s">
        <v>942</v>
      </c>
      <c r="K43" s="20" t="s">
        <v>764</v>
      </c>
      <c r="L43" s="20" t="s">
        <v>254</v>
      </c>
      <c r="M43" s="20" t="s">
        <v>245</v>
      </c>
      <c r="N43" s="20" t="s">
        <v>246</v>
      </c>
    </row>
    <row r="44" ht="87.0" customHeight="1">
      <c r="A44" s="20" t="s">
        <v>943</v>
      </c>
      <c r="B44" s="20" t="s">
        <v>944</v>
      </c>
      <c r="C44" s="20" t="s">
        <v>667</v>
      </c>
      <c r="D44" s="20" t="s">
        <v>945</v>
      </c>
      <c r="E44" s="20" t="s">
        <v>248</v>
      </c>
      <c r="F44" s="20" t="s">
        <v>946</v>
      </c>
      <c r="G44" s="20" t="s">
        <v>947</v>
      </c>
      <c r="H44" s="20" t="s">
        <v>761</v>
      </c>
      <c r="I44" s="20" t="s">
        <v>948</v>
      </c>
      <c r="J44" s="20" t="s">
        <v>949</v>
      </c>
      <c r="K44" s="20" t="s">
        <v>764</v>
      </c>
      <c r="L44" s="20" t="s">
        <v>244</v>
      </c>
      <c r="M44" s="20" t="s">
        <v>245</v>
      </c>
      <c r="N44" s="20" t="s">
        <v>246</v>
      </c>
    </row>
    <row r="45" ht="114.0" customHeight="1">
      <c r="A45" s="20" t="s">
        <v>950</v>
      </c>
      <c r="B45" s="20" t="s">
        <v>951</v>
      </c>
      <c r="C45" s="20" t="s">
        <v>667</v>
      </c>
      <c r="D45" s="20" t="s">
        <v>945</v>
      </c>
      <c r="E45" s="20" t="s">
        <v>248</v>
      </c>
      <c r="F45" s="20" t="s">
        <v>946</v>
      </c>
      <c r="G45" s="20" t="s">
        <v>952</v>
      </c>
      <c r="H45" s="20" t="s">
        <v>761</v>
      </c>
      <c r="I45" s="20" t="s">
        <v>953</v>
      </c>
      <c r="J45" s="20" t="s">
        <v>954</v>
      </c>
      <c r="K45" s="20" t="s">
        <v>764</v>
      </c>
      <c r="L45" s="20" t="s">
        <v>254</v>
      </c>
      <c r="M45" s="20" t="s">
        <v>245</v>
      </c>
      <c r="N45" s="20" t="s">
        <v>246</v>
      </c>
    </row>
    <row r="46" ht="87.0" customHeight="1">
      <c r="A46" s="20" t="s">
        <v>955</v>
      </c>
      <c r="B46" s="20" t="s">
        <v>956</v>
      </c>
      <c r="C46" s="20" t="s">
        <v>667</v>
      </c>
      <c r="D46" s="20" t="s">
        <v>945</v>
      </c>
      <c r="E46" s="20" t="s">
        <v>248</v>
      </c>
      <c r="F46" s="20" t="s">
        <v>957</v>
      </c>
      <c r="G46" s="20" t="s">
        <v>958</v>
      </c>
      <c r="H46" s="20" t="s">
        <v>761</v>
      </c>
      <c r="I46" s="20" t="s">
        <v>959</v>
      </c>
      <c r="J46" s="20" t="s">
        <v>960</v>
      </c>
      <c r="K46" s="20" t="s">
        <v>764</v>
      </c>
      <c r="L46" s="20" t="s">
        <v>254</v>
      </c>
      <c r="M46" s="20" t="s">
        <v>245</v>
      </c>
      <c r="N46" s="20" t="s">
        <v>246</v>
      </c>
    </row>
    <row r="47" ht="114.0" customHeight="1">
      <c r="A47" s="20" t="s">
        <v>961</v>
      </c>
      <c r="B47" s="20" t="s">
        <v>962</v>
      </c>
      <c r="C47" s="20" t="s">
        <v>667</v>
      </c>
      <c r="D47" s="20" t="s">
        <v>945</v>
      </c>
      <c r="E47" s="20" t="s">
        <v>248</v>
      </c>
      <c r="F47" s="20" t="s">
        <v>963</v>
      </c>
      <c r="G47" s="20" t="s">
        <v>964</v>
      </c>
      <c r="H47" s="20" t="s">
        <v>761</v>
      </c>
      <c r="I47" s="20" t="s">
        <v>965</v>
      </c>
      <c r="J47" s="20" t="s">
        <v>966</v>
      </c>
      <c r="K47" s="20" t="s">
        <v>764</v>
      </c>
      <c r="L47" s="20" t="s">
        <v>254</v>
      </c>
      <c r="M47" s="20" t="s">
        <v>245</v>
      </c>
      <c r="N47" s="20" t="s">
        <v>246</v>
      </c>
    </row>
    <row r="48" ht="87.0" customHeight="1">
      <c r="A48" s="20" t="s">
        <v>967</v>
      </c>
      <c r="B48" s="20" t="s">
        <v>968</v>
      </c>
      <c r="C48" s="20" t="s">
        <v>667</v>
      </c>
      <c r="D48" s="20" t="s">
        <v>945</v>
      </c>
      <c r="E48" s="20" t="s">
        <v>248</v>
      </c>
      <c r="F48" s="20" t="s">
        <v>969</v>
      </c>
      <c r="G48" s="20" t="s">
        <v>970</v>
      </c>
      <c r="H48" s="20" t="s">
        <v>761</v>
      </c>
      <c r="I48" s="20" t="s">
        <v>971</v>
      </c>
      <c r="J48" s="20" t="s">
        <v>972</v>
      </c>
      <c r="K48" s="20" t="s">
        <v>764</v>
      </c>
      <c r="L48" s="20" t="s">
        <v>244</v>
      </c>
      <c r="M48" s="20" t="s">
        <v>245</v>
      </c>
      <c r="N48" s="20" t="s">
        <v>246</v>
      </c>
    </row>
    <row r="49" ht="114.0" customHeight="1">
      <c r="A49" s="20" t="s">
        <v>973</v>
      </c>
      <c r="B49" s="20" t="s">
        <v>974</v>
      </c>
      <c r="C49" s="20" t="s">
        <v>667</v>
      </c>
      <c r="D49" s="20" t="s">
        <v>945</v>
      </c>
      <c r="E49" s="20" t="s">
        <v>248</v>
      </c>
      <c r="F49" s="20" t="s">
        <v>969</v>
      </c>
      <c r="G49" s="20" t="s">
        <v>975</v>
      </c>
      <c r="H49" s="20" t="s">
        <v>761</v>
      </c>
      <c r="I49" s="20" t="s">
        <v>976</v>
      </c>
      <c r="J49" s="20" t="s">
        <v>977</v>
      </c>
      <c r="K49" s="20" t="s">
        <v>764</v>
      </c>
      <c r="L49" s="20" t="s">
        <v>254</v>
      </c>
      <c r="M49" s="20" t="s">
        <v>245</v>
      </c>
      <c r="N49" s="20" t="s">
        <v>246</v>
      </c>
    </row>
    <row r="50" ht="87.0" customHeight="1">
      <c r="A50" s="20" t="s">
        <v>978</v>
      </c>
      <c r="B50" s="20" t="s">
        <v>979</v>
      </c>
      <c r="C50" s="20" t="s">
        <v>667</v>
      </c>
      <c r="D50" s="20" t="s">
        <v>945</v>
      </c>
      <c r="E50" s="20" t="s">
        <v>248</v>
      </c>
      <c r="F50" s="20" t="s">
        <v>980</v>
      </c>
      <c r="G50" s="20" t="s">
        <v>981</v>
      </c>
      <c r="H50" s="20" t="s">
        <v>761</v>
      </c>
      <c r="I50" s="20" t="s">
        <v>982</v>
      </c>
      <c r="J50" s="20" t="s">
        <v>983</v>
      </c>
      <c r="K50" s="20" t="s">
        <v>764</v>
      </c>
      <c r="L50" s="20" t="s">
        <v>244</v>
      </c>
      <c r="M50" s="20" t="s">
        <v>245</v>
      </c>
      <c r="N50" s="20" t="s">
        <v>246</v>
      </c>
    </row>
    <row r="51" ht="114.0" customHeight="1">
      <c r="A51" s="20" t="s">
        <v>984</v>
      </c>
      <c r="B51" s="20" t="s">
        <v>985</v>
      </c>
      <c r="C51" s="20" t="s">
        <v>667</v>
      </c>
      <c r="D51" s="20" t="s">
        <v>945</v>
      </c>
      <c r="E51" s="20" t="s">
        <v>248</v>
      </c>
      <c r="F51" s="20" t="s">
        <v>986</v>
      </c>
      <c r="G51" s="20" t="s">
        <v>987</v>
      </c>
      <c r="H51" s="20" t="s">
        <v>761</v>
      </c>
      <c r="I51" s="20" t="s">
        <v>988</v>
      </c>
      <c r="J51" s="20" t="s">
        <v>989</v>
      </c>
      <c r="K51" s="20" t="s">
        <v>764</v>
      </c>
      <c r="L51" s="20" t="s">
        <v>254</v>
      </c>
      <c r="M51" s="20" t="s">
        <v>245</v>
      </c>
      <c r="N51" s="20" t="s">
        <v>246</v>
      </c>
    </row>
    <row r="52" ht="114.0" customHeight="1">
      <c r="A52" s="20" t="s">
        <v>990</v>
      </c>
      <c r="B52" s="20" t="s">
        <v>991</v>
      </c>
      <c r="C52" s="20" t="s">
        <v>667</v>
      </c>
      <c r="D52" s="20" t="s">
        <v>945</v>
      </c>
      <c r="E52" s="20" t="s">
        <v>248</v>
      </c>
      <c r="F52" s="20" t="s">
        <v>992</v>
      </c>
      <c r="G52" s="20" t="s">
        <v>993</v>
      </c>
      <c r="H52" s="20" t="s">
        <v>761</v>
      </c>
      <c r="I52" s="20" t="s">
        <v>994</v>
      </c>
      <c r="J52" s="20" t="s">
        <v>995</v>
      </c>
      <c r="K52" s="20" t="s">
        <v>764</v>
      </c>
      <c r="L52" s="20" t="s">
        <v>254</v>
      </c>
      <c r="M52" s="20" t="s">
        <v>245</v>
      </c>
      <c r="N52" s="20" t="s">
        <v>246</v>
      </c>
    </row>
    <row r="53" ht="87.0" customHeight="1">
      <c r="A53" s="20" t="s">
        <v>996</v>
      </c>
      <c r="B53" s="20" t="s">
        <v>997</v>
      </c>
      <c r="C53" s="20" t="s">
        <v>667</v>
      </c>
      <c r="D53" s="20" t="s">
        <v>945</v>
      </c>
      <c r="E53" s="20" t="s">
        <v>248</v>
      </c>
      <c r="F53" s="20" t="s">
        <v>998</v>
      </c>
      <c r="G53" s="20" t="s">
        <v>999</v>
      </c>
      <c r="H53" s="20" t="s">
        <v>761</v>
      </c>
      <c r="I53" s="20" t="s">
        <v>1000</v>
      </c>
      <c r="J53" s="20" t="s">
        <v>1001</v>
      </c>
      <c r="K53" s="20" t="s">
        <v>764</v>
      </c>
      <c r="L53" s="20" t="s">
        <v>244</v>
      </c>
      <c r="M53" s="20" t="s">
        <v>245</v>
      </c>
      <c r="N53" s="20" t="s">
        <v>246</v>
      </c>
    </row>
    <row r="54" ht="60.0" customHeight="1">
      <c r="A54" s="20" t="s">
        <v>1002</v>
      </c>
      <c r="B54" s="20" t="s">
        <v>1003</v>
      </c>
      <c r="C54" s="20" t="s">
        <v>667</v>
      </c>
      <c r="D54" s="20" t="s">
        <v>1004</v>
      </c>
      <c r="E54" s="20" t="s">
        <v>238</v>
      </c>
      <c r="F54" s="20" t="s">
        <v>1005</v>
      </c>
      <c r="G54" s="20" t="s">
        <v>33</v>
      </c>
      <c r="H54" s="20" t="s">
        <v>1006</v>
      </c>
      <c r="I54" s="20" t="s">
        <v>1007</v>
      </c>
      <c r="J54" s="20" t="s">
        <v>1008</v>
      </c>
      <c r="K54" s="20" t="s">
        <v>1009</v>
      </c>
      <c r="L54" s="20" t="s">
        <v>244</v>
      </c>
      <c r="M54" s="20" t="s">
        <v>245</v>
      </c>
      <c r="N54" s="20" t="s">
        <v>246</v>
      </c>
    </row>
    <row r="55" ht="73.5" customHeight="1">
      <c r="A55" s="20" t="s">
        <v>1010</v>
      </c>
      <c r="B55" s="20" t="s">
        <v>1011</v>
      </c>
      <c r="C55" s="20" t="s">
        <v>667</v>
      </c>
      <c r="D55" s="20" t="s">
        <v>1012</v>
      </c>
      <c r="E55" s="20" t="s">
        <v>238</v>
      </c>
      <c r="F55" s="20" t="s">
        <v>1013</v>
      </c>
      <c r="G55" s="20" t="s">
        <v>33</v>
      </c>
      <c r="H55" s="20" t="s">
        <v>1014</v>
      </c>
      <c r="I55" s="20" t="s">
        <v>1015</v>
      </c>
      <c r="J55" s="20" t="s">
        <v>1016</v>
      </c>
      <c r="K55" s="20" t="s">
        <v>1017</v>
      </c>
      <c r="L55" s="20" t="s">
        <v>244</v>
      </c>
      <c r="M55" s="20" t="s">
        <v>245</v>
      </c>
      <c r="N55" s="20" t="s">
        <v>246</v>
      </c>
    </row>
    <row r="56" ht="46.5" customHeight="1">
      <c r="A56" s="20" t="s">
        <v>1018</v>
      </c>
      <c r="B56" s="20" t="s">
        <v>1019</v>
      </c>
      <c r="C56" s="20" t="s">
        <v>667</v>
      </c>
      <c r="D56" s="20" t="s">
        <v>484</v>
      </c>
      <c r="E56" s="20" t="s">
        <v>238</v>
      </c>
      <c r="F56" s="20" t="s">
        <v>1020</v>
      </c>
      <c r="G56" s="20" t="s">
        <v>1021</v>
      </c>
      <c r="H56" s="20" t="s">
        <v>655</v>
      </c>
      <c r="I56" s="20" t="s">
        <v>1022</v>
      </c>
      <c r="J56" s="20" t="s">
        <v>657</v>
      </c>
      <c r="K56" s="20" t="s">
        <v>490</v>
      </c>
      <c r="L56" s="20" t="s">
        <v>244</v>
      </c>
      <c r="M56" s="20" t="s">
        <v>245</v>
      </c>
      <c r="N56" s="20" t="s">
        <v>246</v>
      </c>
    </row>
    <row r="57" ht="73.5" customHeight="1">
      <c r="A57" s="20" t="s">
        <v>1023</v>
      </c>
      <c r="B57" s="20" t="s">
        <v>1024</v>
      </c>
      <c r="C57" s="20" t="s">
        <v>667</v>
      </c>
      <c r="D57" s="20" t="s">
        <v>484</v>
      </c>
      <c r="E57" s="20" t="s">
        <v>238</v>
      </c>
      <c r="F57" s="20" t="s">
        <v>1025</v>
      </c>
      <c r="G57" s="20" t="s">
        <v>660</v>
      </c>
      <c r="H57" s="20" t="s">
        <v>661</v>
      </c>
      <c r="I57" s="20" t="s">
        <v>1026</v>
      </c>
      <c r="J57" s="20" t="s">
        <v>1027</v>
      </c>
      <c r="K57" s="20" t="s">
        <v>500</v>
      </c>
      <c r="L57" s="20" t="s">
        <v>244</v>
      </c>
      <c r="M57" s="20" t="s">
        <v>245</v>
      </c>
      <c r="N57" s="20" t="s">
        <v>246</v>
      </c>
    </row>
    <row r="58" ht="87.0" customHeight="1">
      <c r="A58" s="20" t="s">
        <v>1028</v>
      </c>
      <c r="B58" s="20" t="s">
        <v>1029</v>
      </c>
      <c r="C58" s="20" t="s">
        <v>667</v>
      </c>
      <c r="D58" s="20" t="s">
        <v>1030</v>
      </c>
      <c r="E58" s="20" t="s">
        <v>248</v>
      </c>
      <c r="F58" s="20" t="s">
        <v>1031</v>
      </c>
      <c r="G58" s="20" t="s">
        <v>1032</v>
      </c>
      <c r="H58" s="20" t="s">
        <v>11</v>
      </c>
      <c r="I58" s="20" t="s">
        <v>1033</v>
      </c>
      <c r="J58" s="20" t="s">
        <v>1034</v>
      </c>
      <c r="K58" s="20" t="s">
        <v>1035</v>
      </c>
      <c r="L58" s="20" t="s">
        <v>254</v>
      </c>
      <c r="M58" s="20" t="s">
        <v>245</v>
      </c>
      <c r="N58" s="20" t="s">
        <v>246</v>
      </c>
    </row>
    <row r="59" ht="73.5" customHeight="1">
      <c r="A59" s="20" t="s">
        <v>1036</v>
      </c>
      <c r="B59" s="20" t="s">
        <v>1037</v>
      </c>
      <c r="C59" s="20" t="s">
        <v>667</v>
      </c>
      <c r="D59" s="20" t="s">
        <v>1038</v>
      </c>
      <c r="E59" s="20" t="s">
        <v>248</v>
      </c>
      <c r="F59" s="20" t="s">
        <v>1039</v>
      </c>
      <c r="G59" s="20" t="s">
        <v>1040</v>
      </c>
      <c r="H59" s="20" t="s">
        <v>1041</v>
      </c>
      <c r="I59" s="20" t="s">
        <v>1042</v>
      </c>
      <c r="J59" s="20" t="s">
        <v>1043</v>
      </c>
      <c r="K59" s="20" t="s">
        <v>500</v>
      </c>
      <c r="L59" s="20" t="s">
        <v>254</v>
      </c>
      <c r="M59" s="20" t="s">
        <v>245</v>
      </c>
      <c r="N59" s="20" t="s">
        <v>246</v>
      </c>
    </row>
    <row r="60" ht="60.0" customHeight="1">
      <c r="A60" s="20" t="s">
        <v>1044</v>
      </c>
      <c r="B60" s="20" t="s">
        <v>1045</v>
      </c>
      <c r="C60" s="20" t="s">
        <v>667</v>
      </c>
      <c r="D60" s="20" t="s">
        <v>666</v>
      </c>
      <c r="E60" s="20" t="s">
        <v>304</v>
      </c>
      <c r="F60" s="20" t="s">
        <v>1039</v>
      </c>
      <c r="G60" s="20" t="s">
        <v>33</v>
      </c>
      <c r="H60" s="20" t="s">
        <v>1046</v>
      </c>
      <c r="I60" s="20" t="s">
        <v>1047</v>
      </c>
      <c r="J60" s="20" t="s">
        <v>1048</v>
      </c>
      <c r="K60" s="20" t="s">
        <v>33</v>
      </c>
      <c r="L60" s="20" t="s">
        <v>254</v>
      </c>
      <c r="M60" s="20" t="s">
        <v>245</v>
      </c>
      <c r="N60" s="20" t="s">
        <v>246</v>
      </c>
    </row>
    <row r="61" ht="73.5" customHeight="1">
      <c r="A61" s="20" t="s">
        <v>1049</v>
      </c>
      <c r="B61" s="20" t="s">
        <v>1050</v>
      </c>
      <c r="C61" s="20" t="s">
        <v>667</v>
      </c>
      <c r="D61" s="20" t="s">
        <v>1051</v>
      </c>
      <c r="E61" s="20" t="s">
        <v>238</v>
      </c>
      <c r="F61" s="20" t="s">
        <v>906</v>
      </c>
      <c r="G61" s="20" t="s">
        <v>1052</v>
      </c>
      <c r="H61" s="20" t="s">
        <v>1053</v>
      </c>
      <c r="I61" s="20" t="s">
        <v>1054</v>
      </c>
      <c r="J61" s="20" t="s">
        <v>1055</v>
      </c>
      <c r="K61" s="20" t="s">
        <v>1056</v>
      </c>
      <c r="L61" s="20" t="s">
        <v>244</v>
      </c>
      <c r="M61" s="20" t="s">
        <v>245</v>
      </c>
      <c r="N61" s="20" t="s">
        <v>246</v>
      </c>
    </row>
    <row r="62" ht="46.5" customHeight="1">
      <c r="A62" s="20" t="s">
        <v>1057</v>
      </c>
      <c r="B62" s="20" t="s">
        <v>1058</v>
      </c>
      <c r="C62" s="20" t="s">
        <v>667</v>
      </c>
      <c r="D62" s="20" t="s">
        <v>1051</v>
      </c>
      <c r="E62" s="20" t="s">
        <v>248</v>
      </c>
      <c r="F62" s="20" t="s">
        <v>906</v>
      </c>
      <c r="G62" s="20" t="s">
        <v>1059</v>
      </c>
      <c r="H62" s="20" t="s">
        <v>1060</v>
      </c>
      <c r="I62" s="20" t="s">
        <v>1061</v>
      </c>
      <c r="J62" s="20" t="s">
        <v>1062</v>
      </c>
      <c r="K62" s="20" t="s">
        <v>33</v>
      </c>
      <c r="L62" s="20" t="s">
        <v>244</v>
      </c>
      <c r="M62" s="20" t="s">
        <v>245</v>
      </c>
      <c r="N62" s="20" t="s">
        <v>246</v>
      </c>
    </row>
    <row r="63" ht="60.0" customHeight="1">
      <c r="A63" s="20" t="s">
        <v>1063</v>
      </c>
      <c r="B63" s="20" t="s">
        <v>1064</v>
      </c>
      <c r="C63" s="20" t="s">
        <v>667</v>
      </c>
      <c r="D63" s="20" t="s">
        <v>1065</v>
      </c>
      <c r="E63" s="20" t="s">
        <v>238</v>
      </c>
      <c r="F63" s="20" t="s">
        <v>1066</v>
      </c>
      <c r="G63" s="20" t="s">
        <v>1067</v>
      </c>
      <c r="H63" s="20" t="s">
        <v>1068</v>
      </c>
      <c r="I63" s="20" t="s">
        <v>1069</v>
      </c>
      <c r="J63" s="20" t="s">
        <v>1070</v>
      </c>
      <c r="K63" s="20" t="s">
        <v>33</v>
      </c>
      <c r="L63" s="20" t="s">
        <v>244</v>
      </c>
      <c r="M63" s="20" t="s">
        <v>245</v>
      </c>
      <c r="N63" s="20" t="s">
        <v>246</v>
      </c>
    </row>
    <row r="64" ht="60.0" customHeight="1">
      <c r="A64" s="20" t="s">
        <v>1071</v>
      </c>
      <c r="B64" s="20" t="s">
        <v>1072</v>
      </c>
      <c r="C64" s="20" t="s">
        <v>667</v>
      </c>
      <c r="D64" s="20" t="s">
        <v>1065</v>
      </c>
      <c r="E64" s="20" t="s">
        <v>248</v>
      </c>
      <c r="F64" s="20" t="s">
        <v>1073</v>
      </c>
      <c r="G64" s="20" t="s">
        <v>1074</v>
      </c>
      <c r="H64" s="20" t="s">
        <v>1075</v>
      </c>
      <c r="I64" s="20" t="s">
        <v>1076</v>
      </c>
      <c r="J64" s="20" t="s">
        <v>1077</v>
      </c>
      <c r="K64" s="20" t="s">
        <v>33</v>
      </c>
      <c r="L64" s="20" t="s">
        <v>254</v>
      </c>
      <c r="M64" s="20" t="s">
        <v>245</v>
      </c>
      <c r="N64" s="20" t="s">
        <v>246</v>
      </c>
    </row>
    <row r="65" ht="60.0" customHeight="1">
      <c r="A65" s="20" t="s">
        <v>1078</v>
      </c>
      <c r="B65" s="20" t="s">
        <v>1079</v>
      </c>
      <c r="C65" s="20" t="s">
        <v>667</v>
      </c>
      <c r="D65" s="20" t="s">
        <v>1080</v>
      </c>
      <c r="E65" s="20" t="s">
        <v>248</v>
      </c>
      <c r="F65" s="20" t="s">
        <v>1081</v>
      </c>
      <c r="G65" s="20" t="s">
        <v>1082</v>
      </c>
      <c r="H65" s="20" t="s">
        <v>1083</v>
      </c>
      <c r="I65" s="20" t="s">
        <v>1084</v>
      </c>
      <c r="J65" s="20" t="s">
        <v>1085</v>
      </c>
      <c r="K65" s="20" t="s">
        <v>33</v>
      </c>
      <c r="L65" s="20" t="s">
        <v>244</v>
      </c>
      <c r="M65" s="20" t="s">
        <v>245</v>
      </c>
      <c r="N65" s="20" t="s">
        <v>246</v>
      </c>
    </row>
    <row r="66" ht="46.5" customHeight="1">
      <c r="A66" s="20" t="s">
        <v>1086</v>
      </c>
      <c r="B66" s="20" t="s">
        <v>1087</v>
      </c>
      <c r="C66" s="20" t="s">
        <v>667</v>
      </c>
      <c r="D66" s="20" t="s">
        <v>1080</v>
      </c>
      <c r="E66" s="20" t="s">
        <v>248</v>
      </c>
      <c r="F66" s="20" t="s">
        <v>1088</v>
      </c>
      <c r="G66" s="20" t="s">
        <v>1089</v>
      </c>
      <c r="H66" s="20" t="s">
        <v>1083</v>
      </c>
      <c r="I66" s="20" t="s">
        <v>1090</v>
      </c>
      <c r="J66" s="20" t="s">
        <v>1091</v>
      </c>
      <c r="K66" s="20" t="s">
        <v>33</v>
      </c>
      <c r="L66" s="20" t="s">
        <v>254</v>
      </c>
      <c r="M66" s="20" t="s">
        <v>245</v>
      </c>
      <c r="N66" s="20" t="s">
        <v>246</v>
      </c>
    </row>
    <row r="67" ht="60.0" customHeight="1">
      <c r="A67" s="20" t="s">
        <v>1092</v>
      </c>
      <c r="B67" s="20" t="s">
        <v>1093</v>
      </c>
      <c r="C67" s="20" t="s">
        <v>667</v>
      </c>
      <c r="D67" s="20" t="s">
        <v>1094</v>
      </c>
      <c r="E67" s="20" t="s">
        <v>304</v>
      </c>
      <c r="F67" s="20" t="s">
        <v>906</v>
      </c>
      <c r="G67" s="20" t="s">
        <v>33</v>
      </c>
      <c r="H67" s="20" t="s">
        <v>1095</v>
      </c>
      <c r="I67" s="20" t="s">
        <v>1096</v>
      </c>
      <c r="J67" s="20" t="s">
        <v>1097</v>
      </c>
      <c r="K67" s="20" t="s">
        <v>33</v>
      </c>
      <c r="L67" s="20" t="s">
        <v>254</v>
      </c>
      <c r="M67" s="20" t="s">
        <v>673</v>
      </c>
      <c r="N67" s="20" t="s">
        <v>246</v>
      </c>
    </row>
    <row r="68" ht="60.0" customHeight="1">
      <c r="A68" s="20" t="s">
        <v>1098</v>
      </c>
      <c r="B68" s="20" t="s">
        <v>1099</v>
      </c>
      <c r="C68" s="20" t="s">
        <v>667</v>
      </c>
      <c r="D68" s="20" t="s">
        <v>1100</v>
      </c>
      <c r="E68" s="20" t="s">
        <v>248</v>
      </c>
      <c r="F68" s="20" t="s">
        <v>906</v>
      </c>
      <c r="G68" s="20" t="s">
        <v>1101</v>
      </c>
      <c r="H68" s="20" t="s">
        <v>1102</v>
      </c>
      <c r="I68" s="20" t="s">
        <v>1103</v>
      </c>
      <c r="J68" s="20" t="s">
        <v>1104</v>
      </c>
      <c r="K68" s="20" t="s">
        <v>33</v>
      </c>
      <c r="L68" s="20" t="s">
        <v>244</v>
      </c>
      <c r="M68" s="20" t="s">
        <v>245</v>
      </c>
      <c r="N68" s="20" t="s">
        <v>246</v>
      </c>
    </row>
    <row r="69" ht="60.0" customHeight="1">
      <c r="A69" s="20" t="s">
        <v>1105</v>
      </c>
      <c r="B69" s="20" t="s">
        <v>1106</v>
      </c>
      <c r="C69" s="20" t="s">
        <v>667</v>
      </c>
      <c r="D69" s="20" t="s">
        <v>1100</v>
      </c>
      <c r="E69" s="20" t="s">
        <v>304</v>
      </c>
      <c r="F69" s="20" t="s">
        <v>906</v>
      </c>
      <c r="G69" s="20" t="s">
        <v>1107</v>
      </c>
      <c r="H69" s="20" t="s">
        <v>1108</v>
      </c>
      <c r="I69" s="20" t="s">
        <v>1109</v>
      </c>
      <c r="J69" s="20" t="s">
        <v>1110</v>
      </c>
      <c r="K69" s="20" t="s">
        <v>33</v>
      </c>
      <c r="L69" s="20" t="s">
        <v>254</v>
      </c>
      <c r="M69" s="20" t="s">
        <v>245</v>
      </c>
      <c r="N69" s="20" t="s">
        <v>246</v>
      </c>
    </row>
    <row r="70" ht="60.0" customHeight="1">
      <c r="A70" s="20" t="s">
        <v>1111</v>
      </c>
      <c r="B70" s="20" t="s">
        <v>1112</v>
      </c>
      <c r="C70" s="20" t="s">
        <v>667</v>
      </c>
      <c r="D70" s="20" t="s">
        <v>1113</v>
      </c>
      <c r="E70" s="20" t="s">
        <v>248</v>
      </c>
      <c r="F70" s="20" t="s">
        <v>1114</v>
      </c>
      <c r="G70" s="20" t="s">
        <v>1115</v>
      </c>
      <c r="H70" s="20" t="s">
        <v>1116</v>
      </c>
      <c r="I70" s="20" t="s">
        <v>1117</v>
      </c>
      <c r="J70" s="20" t="s">
        <v>1118</v>
      </c>
      <c r="K70" s="20" t="s">
        <v>33</v>
      </c>
      <c r="L70" s="20" t="s">
        <v>254</v>
      </c>
      <c r="M70" s="20" t="s">
        <v>245</v>
      </c>
      <c r="N70" s="20" t="s">
        <v>246</v>
      </c>
    </row>
    <row r="71" ht="46.5" customHeight="1">
      <c r="A71" s="20" t="s">
        <v>1119</v>
      </c>
      <c r="B71" s="20" t="s">
        <v>1120</v>
      </c>
      <c r="C71" s="20" t="s">
        <v>667</v>
      </c>
      <c r="D71" s="20" t="s">
        <v>1113</v>
      </c>
      <c r="E71" s="20" t="s">
        <v>248</v>
      </c>
      <c r="F71" s="20" t="s">
        <v>1114</v>
      </c>
      <c r="G71" s="20" t="s">
        <v>1115</v>
      </c>
      <c r="H71" s="20" t="s">
        <v>1116</v>
      </c>
      <c r="I71" s="20" t="s">
        <v>1121</v>
      </c>
      <c r="J71" s="20" t="s">
        <v>1122</v>
      </c>
      <c r="K71" s="20" t="s">
        <v>33</v>
      </c>
      <c r="L71" s="20" t="s">
        <v>244</v>
      </c>
      <c r="M71" s="20" t="s">
        <v>245</v>
      </c>
      <c r="N71" s="20" t="s">
        <v>246</v>
      </c>
    </row>
    <row r="72" ht="60.0" customHeight="1">
      <c r="A72" s="20" t="s">
        <v>1123</v>
      </c>
      <c r="B72" s="20" t="s">
        <v>1124</v>
      </c>
      <c r="C72" s="20" t="s">
        <v>667</v>
      </c>
      <c r="D72" s="20" t="s">
        <v>1125</v>
      </c>
      <c r="E72" s="20" t="s">
        <v>304</v>
      </c>
      <c r="F72" s="20" t="s">
        <v>906</v>
      </c>
      <c r="G72" s="20" t="s">
        <v>1115</v>
      </c>
      <c r="H72" s="20" t="s">
        <v>1126</v>
      </c>
      <c r="I72" s="20" t="s">
        <v>1127</v>
      </c>
      <c r="J72" s="20" t="s">
        <v>1128</v>
      </c>
      <c r="K72" s="20" t="s">
        <v>33</v>
      </c>
      <c r="L72" s="20" t="s">
        <v>244</v>
      </c>
      <c r="M72" s="20" t="s">
        <v>245</v>
      </c>
      <c r="N72" s="20" t="s">
        <v>246</v>
      </c>
    </row>
    <row r="73" ht="46.5" customHeight="1">
      <c r="A73" s="20" t="s">
        <v>1129</v>
      </c>
      <c r="B73" s="20" t="s">
        <v>1130</v>
      </c>
      <c r="C73" s="20" t="s">
        <v>667</v>
      </c>
      <c r="D73" s="20" t="s">
        <v>1131</v>
      </c>
      <c r="E73" s="20" t="s">
        <v>304</v>
      </c>
      <c r="F73" s="20" t="s">
        <v>1132</v>
      </c>
      <c r="G73" s="20" t="s">
        <v>1133</v>
      </c>
      <c r="H73" s="20" t="s">
        <v>1134</v>
      </c>
      <c r="I73" s="20" t="s">
        <v>1135</v>
      </c>
      <c r="J73" s="20" t="s">
        <v>1136</v>
      </c>
      <c r="K73" s="20" t="s">
        <v>33</v>
      </c>
      <c r="L73" s="20" t="s">
        <v>254</v>
      </c>
      <c r="M73" s="20" t="s">
        <v>245</v>
      </c>
      <c r="N73" s="20" t="s">
        <v>246</v>
      </c>
    </row>
    <row r="74" ht="90.0" customHeight="1">
      <c r="A74" s="20" t="s">
        <v>1137</v>
      </c>
      <c r="B74" s="20" t="s">
        <v>1138</v>
      </c>
      <c r="C74" s="20" t="s">
        <v>667</v>
      </c>
      <c r="D74" s="20" t="s">
        <v>1139</v>
      </c>
      <c r="E74" s="20" t="s">
        <v>248</v>
      </c>
      <c r="F74" s="20" t="s">
        <v>1140</v>
      </c>
      <c r="G74" s="20" t="s">
        <v>1141</v>
      </c>
      <c r="H74" s="20" t="s">
        <v>1142</v>
      </c>
      <c r="I74" s="20" t="s">
        <v>1143</v>
      </c>
      <c r="J74" s="20" t="s">
        <v>1144</v>
      </c>
      <c r="K74" s="20" t="s">
        <v>33</v>
      </c>
      <c r="L74" s="20" t="s">
        <v>254</v>
      </c>
      <c r="M74" s="20" t="s">
        <v>673</v>
      </c>
      <c r="N74" s="20" t="s">
        <v>246</v>
      </c>
    </row>
    <row r="75" ht="90.0" customHeight="1">
      <c r="A75" s="20" t="s">
        <v>1145</v>
      </c>
      <c r="B75" s="20" t="s">
        <v>1146</v>
      </c>
      <c r="C75" s="20" t="s">
        <v>667</v>
      </c>
      <c r="D75" s="20" t="s">
        <v>1139</v>
      </c>
      <c r="E75" s="20" t="s">
        <v>248</v>
      </c>
      <c r="F75" s="20" t="s">
        <v>1147</v>
      </c>
      <c r="G75" s="20" t="s">
        <v>1148</v>
      </c>
      <c r="H75" s="20" t="s">
        <v>1149</v>
      </c>
      <c r="I75" s="20" t="s">
        <v>1150</v>
      </c>
      <c r="J75" s="20" t="s">
        <v>1151</v>
      </c>
      <c r="K75" s="20" t="s">
        <v>33</v>
      </c>
      <c r="L75" s="20" t="s">
        <v>254</v>
      </c>
      <c r="M75" s="20" t="s">
        <v>673</v>
      </c>
      <c r="N75" s="20" t="s">
        <v>246</v>
      </c>
    </row>
    <row r="76" ht="15.75" customHeight="1">
      <c r="A76" s="3"/>
      <c r="B76" s="3"/>
      <c r="C76" s="3"/>
      <c r="D76" s="3"/>
      <c r="E76" s="3"/>
      <c r="F76" s="3"/>
      <c r="G76" s="3"/>
      <c r="H76" s="3"/>
      <c r="I76" s="3"/>
      <c r="J76" s="3"/>
      <c r="K76" s="3"/>
      <c r="L76" s="3"/>
      <c r="M76" s="3"/>
      <c r="N76" s="3"/>
    </row>
    <row r="77" ht="15.75" customHeight="1">
      <c r="A77" s="3"/>
      <c r="B77" s="3"/>
      <c r="C77" s="3"/>
      <c r="D77" s="3"/>
      <c r="E77" s="3"/>
      <c r="F77" s="3"/>
      <c r="G77" s="3"/>
      <c r="H77" s="3"/>
      <c r="I77" s="3"/>
      <c r="J77" s="3"/>
      <c r="K77" s="3"/>
      <c r="L77" s="3"/>
      <c r="M77" s="3"/>
      <c r="N77" s="3"/>
    </row>
    <row r="78" ht="15.75" customHeight="1">
      <c r="A78" s="3"/>
      <c r="B78" s="3"/>
      <c r="C78" s="3"/>
      <c r="D78" s="3"/>
      <c r="E78" s="3"/>
      <c r="F78" s="3"/>
      <c r="G78" s="3"/>
      <c r="H78" s="3"/>
      <c r="I78" s="3"/>
      <c r="J78" s="3"/>
      <c r="K78" s="3"/>
      <c r="L78" s="3"/>
      <c r="M78" s="3"/>
      <c r="N78" s="3"/>
    </row>
    <row r="79" ht="15.75" customHeight="1">
      <c r="A79" s="3"/>
      <c r="B79" s="3"/>
      <c r="C79" s="3"/>
      <c r="D79" s="3"/>
      <c r="E79" s="3"/>
      <c r="F79" s="3"/>
      <c r="G79" s="3"/>
      <c r="H79" s="3"/>
      <c r="I79" s="3"/>
      <c r="J79" s="3"/>
      <c r="K79" s="3"/>
      <c r="L79" s="3"/>
      <c r="M79" s="3"/>
      <c r="N79" s="3"/>
    </row>
    <row r="80" ht="15.75" customHeight="1">
      <c r="A80" s="3"/>
      <c r="B80" s="3"/>
      <c r="C80" s="3"/>
      <c r="D80" s="3"/>
      <c r="E80" s="3"/>
      <c r="F80" s="3"/>
      <c r="G80" s="3"/>
      <c r="H80" s="3"/>
      <c r="I80" s="3"/>
      <c r="J80" s="3"/>
      <c r="K80" s="3"/>
      <c r="L80" s="3"/>
      <c r="M80" s="3"/>
      <c r="N80" s="3"/>
    </row>
    <row r="81" ht="15.75" customHeight="1">
      <c r="A81" s="3"/>
      <c r="B81" s="3"/>
      <c r="C81" s="3"/>
      <c r="D81" s="3"/>
      <c r="E81" s="3"/>
      <c r="F81" s="3"/>
      <c r="G81" s="3"/>
      <c r="H81" s="3"/>
      <c r="I81" s="3"/>
      <c r="J81" s="3"/>
      <c r="K81" s="3"/>
      <c r="L81" s="3"/>
      <c r="M81" s="3"/>
      <c r="N81" s="3"/>
    </row>
    <row r="82" ht="15.75" customHeight="1">
      <c r="A82" s="3"/>
      <c r="B82" s="3"/>
      <c r="C82" s="3"/>
      <c r="D82" s="3"/>
      <c r="E82" s="3"/>
      <c r="F82" s="3"/>
      <c r="G82" s="3"/>
      <c r="H82" s="3"/>
      <c r="I82" s="3"/>
      <c r="J82" s="3"/>
      <c r="K82" s="3"/>
      <c r="L82" s="3"/>
      <c r="M82" s="3"/>
      <c r="N82" s="3"/>
    </row>
    <row r="83" ht="15.75" customHeight="1">
      <c r="A83" s="3"/>
      <c r="B83" s="3"/>
      <c r="C83" s="3"/>
      <c r="D83" s="3"/>
      <c r="E83" s="3"/>
      <c r="F83" s="3"/>
      <c r="G83" s="3"/>
      <c r="H83" s="3"/>
      <c r="I83" s="3"/>
      <c r="J83" s="3"/>
      <c r="K83" s="3"/>
      <c r="L83" s="3"/>
      <c r="M83" s="3"/>
      <c r="N83" s="3"/>
    </row>
    <row r="84" ht="15.75" customHeight="1">
      <c r="A84" s="3"/>
      <c r="B84" s="3"/>
      <c r="C84" s="3"/>
      <c r="D84" s="3"/>
      <c r="E84" s="3"/>
      <c r="F84" s="3"/>
      <c r="G84" s="3"/>
      <c r="H84" s="3"/>
      <c r="I84" s="3"/>
      <c r="J84" s="3"/>
      <c r="K84" s="3"/>
      <c r="L84" s="3"/>
      <c r="M84" s="3"/>
      <c r="N84" s="3"/>
    </row>
    <row r="85" ht="15.75" customHeight="1">
      <c r="A85" s="3"/>
      <c r="B85" s="3"/>
      <c r="C85" s="3"/>
      <c r="D85" s="3"/>
      <c r="E85" s="3"/>
      <c r="F85" s="3"/>
      <c r="G85" s="3"/>
      <c r="H85" s="3"/>
      <c r="I85" s="3"/>
      <c r="J85" s="3"/>
      <c r="K85" s="3"/>
      <c r="L85" s="3"/>
      <c r="M85" s="3"/>
      <c r="N85" s="3"/>
    </row>
    <row r="86" ht="15.75" customHeight="1">
      <c r="A86" s="3"/>
      <c r="B86" s="3"/>
      <c r="C86" s="3"/>
      <c r="D86" s="3"/>
      <c r="E86" s="3"/>
      <c r="F86" s="3"/>
      <c r="G86" s="3"/>
      <c r="H86" s="3"/>
      <c r="I86" s="3"/>
      <c r="J86" s="3"/>
      <c r="K86" s="3"/>
      <c r="L86" s="3"/>
      <c r="M86" s="3"/>
      <c r="N86" s="3"/>
    </row>
    <row r="87" ht="15.75" customHeight="1">
      <c r="A87" s="3"/>
      <c r="B87" s="3"/>
      <c r="C87" s="3"/>
      <c r="D87" s="3"/>
      <c r="E87" s="3"/>
      <c r="F87" s="3"/>
      <c r="G87" s="3"/>
      <c r="H87" s="3"/>
      <c r="I87" s="3"/>
      <c r="J87" s="3"/>
      <c r="K87" s="3"/>
      <c r="L87" s="3"/>
      <c r="M87" s="3"/>
      <c r="N87" s="3"/>
    </row>
    <row r="88" ht="15.75" customHeight="1">
      <c r="A88" s="3"/>
      <c r="B88" s="3"/>
      <c r="C88" s="3"/>
      <c r="D88" s="3"/>
      <c r="E88" s="3"/>
      <c r="F88" s="3"/>
      <c r="G88" s="3"/>
      <c r="H88" s="3"/>
      <c r="I88" s="3"/>
      <c r="J88" s="3"/>
      <c r="K88" s="3"/>
      <c r="L88" s="3"/>
      <c r="M88" s="3"/>
      <c r="N88" s="3"/>
    </row>
    <row r="89" ht="15.75" customHeight="1">
      <c r="A89" s="3"/>
      <c r="B89" s="3"/>
      <c r="C89" s="3"/>
      <c r="D89" s="3"/>
      <c r="E89" s="3"/>
      <c r="F89" s="3"/>
      <c r="G89" s="3"/>
      <c r="H89" s="3"/>
      <c r="I89" s="3"/>
      <c r="J89" s="3"/>
      <c r="K89" s="3"/>
      <c r="L89" s="3"/>
      <c r="M89" s="3"/>
      <c r="N89" s="3"/>
    </row>
    <row r="90" ht="15.75" customHeight="1">
      <c r="A90" s="3"/>
      <c r="B90" s="3"/>
      <c r="C90" s="3"/>
      <c r="D90" s="3"/>
      <c r="E90" s="3"/>
      <c r="F90" s="3"/>
      <c r="G90" s="3"/>
      <c r="H90" s="3"/>
      <c r="I90" s="3"/>
      <c r="J90" s="3"/>
      <c r="K90" s="3"/>
      <c r="L90" s="3"/>
      <c r="M90" s="3"/>
      <c r="N90" s="3"/>
    </row>
    <row r="91" ht="15.75" customHeight="1">
      <c r="A91" s="3"/>
      <c r="B91" s="3"/>
      <c r="C91" s="3"/>
      <c r="D91" s="3"/>
      <c r="E91" s="3"/>
      <c r="F91" s="3"/>
      <c r="G91" s="3"/>
      <c r="H91" s="3"/>
      <c r="I91" s="3"/>
      <c r="J91" s="3"/>
      <c r="K91" s="3"/>
      <c r="L91" s="3"/>
      <c r="M91" s="3"/>
      <c r="N91" s="3"/>
    </row>
    <row r="92" ht="15.75" customHeight="1">
      <c r="A92" s="3"/>
      <c r="B92" s="3"/>
      <c r="C92" s="3"/>
      <c r="D92" s="3"/>
      <c r="E92" s="3"/>
      <c r="F92" s="3"/>
      <c r="G92" s="3"/>
      <c r="H92" s="3"/>
      <c r="I92" s="3"/>
      <c r="J92" s="3"/>
      <c r="K92" s="3"/>
      <c r="L92" s="3"/>
      <c r="M92" s="3"/>
      <c r="N92" s="3"/>
    </row>
    <row r="93" ht="15.75" customHeight="1">
      <c r="A93" s="3"/>
      <c r="B93" s="3"/>
      <c r="C93" s="3"/>
      <c r="D93" s="3"/>
      <c r="E93" s="3"/>
      <c r="F93" s="3"/>
      <c r="G93" s="3"/>
      <c r="H93" s="3"/>
      <c r="I93" s="3"/>
      <c r="J93" s="3"/>
      <c r="K93" s="3"/>
      <c r="L93" s="3"/>
      <c r="M93" s="3"/>
      <c r="N93" s="3"/>
    </row>
    <row r="94" ht="15.75" customHeight="1">
      <c r="A94" s="3"/>
      <c r="B94" s="3"/>
      <c r="C94" s="3"/>
      <c r="D94" s="3"/>
      <c r="E94" s="3"/>
      <c r="F94" s="3"/>
      <c r="G94" s="3"/>
      <c r="H94" s="3"/>
      <c r="I94" s="3"/>
      <c r="J94" s="3"/>
      <c r="K94" s="3"/>
      <c r="L94" s="3"/>
      <c r="M94" s="3"/>
      <c r="N94" s="3"/>
    </row>
    <row r="95" ht="15.75" customHeight="1">
      <c r="A95" s="3"/>
      <c r="B95" s="3"/>
      <c r="C95" s="3"/>
      <c r="D95" s="3"/>
      <c r="E95" s="3"/>
      <c r="F95" s="3"/>
      <c r="G95" s="3"/>
      <c r="H95" s="3"/>
      <c r="I95" s="3"/>
      <c r="J95" s="3"/>
      <c r="K95" s="3"/>
      <c r="L95" s="3"/>
      <c r="M95" s="3"/>
      <c r="N95" s="3"/>
    </row>
    <row r="96" ht="15.75" customHeight="1">
      <c r="A96" s="3"/>
      <c r="B96" s="3"/>
      <c r="C96" s="3"/>
      <c r="D96" s="3"/>
      <c r="E96" s="3"/>
      <c r="F96" s="3"/>
      <c r="G96" s="3"/>
      <c r="H96" s="3"/>
      <c r="I96" s="3"/>
      <c r="J96" s="3"/>
      <c r="K96" s="3"/>
      <c r="L96" s="3"/>
      <c r="M96" s="3"/>
      <c r="N96" s="3"/>
    </row>
    <row r="97" ht="15.75" customHeight="1">
      <c r="A97" s="3"/>
      <c r="B97" s="3"/>
      <c r="C97" s="3"/>
      <c r="D97" s="3"/>
      <c r="E97" s="3"/>
      <c r="F97" s="3"/>
      <c r="G97" s="3"/>
      <c r="H97" s="3"/>
      <c r="I97" s="3"/>
      <c r="J97" s="3"/>
      <c r="K97" s="3"/>
      <c r="L97" s="3"/>
      <c r="M97" s="3"/>
      <c r="N97" s="3"/>
    </row>
    <row r="98" ht="15.75" customHeight="1">
      <c r="A98" s="3"/>
      <c r="B98" s="3"/>
      <c r="C98" s="3"/>
      <c r="D98" s="3"/>
      <c r="E98" s="3"/>
      <c r="F98" s="3"/>
      <c r="G98" s="3"/>
      <c r="H98" s="3"/>
      <c r="I98" s="3"/>
      <c r="J98" s="3"/>
      <c r="K98" s="3"/>
      <c r="L98" s="3"/>
      <c r="M98" s="3"/>
      <c r="N98" s="3"/>
    </row>
    <row r="99" ht="15.75" customHeight="1">
      <c r="A99" s="3"/>
      <c r="B99" s="3"/>
      <c r="C99" s="3"/>
      <c r="D99" s="3"/>
      <c r="E99" s="3"/>
      <c r="F99" s="3"/>
      <c r="G99" s="3"/>
      <c r="H99" s="3"/>
      <c r="I99" s="3"/>
      <c r="J99" s="3"/>
      <c r="K99" s="3"/>
      <c r="L99" s="3"/>
      <c r="M99" s="3"/>
      <c r="N99" s="3"/>
    </row>
    <row r="100" ht="15.75" customHeight="1">
      <c r="A100" s="3"/>
      <c r="B100" s="3"/>
      <c r="C100" s="3"/>
      <c r="D100" s="3"/>
      <c r="E100" s="3"/>
      <c r="F100" s="3"/>
      <c r="G100" s="3"/>
      <c r="H100" s="3"/>
      <c r="I100" s="3"/>
      <c r="J100" s="3"/>
      <c r="K100" s="3"/>
      <c r="L100" s="3"/>
      <c r="M100" s="3"/>
      <c r="N100" s="3"/>
    </row>
    <row r="101" ht="15.75" customHeight="1">
      <c r="A101" s="3"/>
      <c r="B101" s="3"/>
      <c r="C101" s="3"/>
      <c r="D101" s="3"/>
      <c r="E101" s="3"/>
      <c r="F101" s="3"/>
      <c r="G101" s="3"/>
      <c r="H101" s="3"/>
      <c r="I101" s="3"/>
      <c r="J101" s="3"/>
      <c r="K101" s="3"/>
      <c r="L101" s="3"/>
      <c r="M101" s="3"/>
      <c r="N101" s="3"/>
    </row>
    <row r="102" ht="15.75" customHeight="1">
      <c r="A102" s="3"/>
      <c r="B102" s="3"/>
      <c r="C102" s="3"/>
      <c r="D102" s="3"/>
      <c r="E102" s="3"/>
      <c r="F102" s="3"/>
      <c r="G102" s="3"/>
      <c r="H102" s="3"/>
      <c r="I102" s="3"/>
      <c r="J102" s="3"/>
      <c r="K102" s="3"/>
      <c r="L102" s="3"/>
      <c r="M102" s="3"/>
      <c r="N102" s="3"/>
    </row>
    <row r="103" ht="15.75" customHeight="1">
      <c r="A103" s="3"/>
      <c r="B103" s="3"/>
      <c r="C103" s="3"/>
      <c r="D103" s="3"/>
      <c r="E103" s="3"/>
      <c r="F103" s="3"/>
      <c r="G103" s="3"/>
      <c r="H103" s="3"/>
      <c r="I103" s="3"/>
      <c r="J103" s="3"/>
      <c r="K103" s="3"/>
      <c r="L103" s="3"/>
      <c r="M103" s="3"/>
      <c r="N103" s="3"/>
    </row>
    <row r="104" ht="15.75" customHeight="1">
      <c r="A104" s="3"/>
      <c r="B104" s="3"/>
      <c r="C104" s="3"/>
      <c r="D104" s="3"/>
      <c r="E104" s="3"/>
      <c r="F104" s="3"/>
      <c r="G104" s="3"/>
      <c r="H104" s="3"/>
      <c r="I104" s="3"/>
      <c r="J104" s="3"/>
      <c r="K104" s="3"/>
      <c r="L104" s="3"/>
      <c r="M104" s="3"/>
      <c r="N104" s="3"/>
    </row>
    <row r="105" ht="15.75" customHeight="1">
      <c r="A105" s="3"/>
      <c r="B105" s="3"/>
      <c r="C105" s="3"/>
      <c r="D105" s="3"/>
      <c r="E105" s="3"/>
      <c r="F105" s="3"/>
      <c r="G105" s="3"/>
      <c r="H105" s="3"/>
      <c r="I105" s="3"/>
      <c r="J105" s="3"/>
      <c r="K105" s="3"/>
      <c r="L105" s="3"/>
      <c r="M105" s="3"/>
      <c r="N105" s="3"/>
    </row>
    <row r="106" ht="15.75" customHeight="1">
      <c r="A106" s="3"/>
      <c r="B106" s="3"/>
      <c r="C106" s="3"/>
      <c r="D106" s="3"/>
      <c r="E106" s="3"/>
      <c r="F106" s="3"/>
      <c r="G106" s="3"/>
      <c r="H106" s="3"/>
      <c r="I106" s="3"/>
      <c r="J106" s="3"/>
      <c r="K106" s="3"/>
      <c r="L106" s="3"/>
      <c r="M106" s="3"/>
      <c r="N106" s="3"/>
    </row>
    <row r="107" ht="15.75" customHeight="1">
      <c r="A107" s="3"/>
      <c r="B107" s="3"/>
      <c r="C107" s="3"/>
      <c r="D107" s="3"/>
      <c r="E107" s="3"/>
      <c r="F107" s="3"/>
      <c r="G107" s="3"/>
      <c r="H107" s="3"/>
      <c r="I107" s="3"/>
      <c r="J107" s="3"/>
      <c r="K107" s="3"/>
      <c r="L107" s="3"/>
      <c r="M107" s="3"/>
      <c r="N107" s="3"/>
    </row>
    <row r="108" ht="15.75" customHeight="1">
      <c r="A108" s="3"/>
      <c r="B108" s="3"/>
      <c r="C108" s="3"/>
      <c r="D108" s="3"/>
      <c r="E108" s="3"/>
      <c r="F108" s="3"/>
      <c r="G108" s="3"/>
      <c r="H108" s="3"/>
      <c r="I108" s="3"/>
      <c r="J108" s="3"/>
      <c r="K108" s="3"/>
      <c r="L108" s="3"/>
      <c r="M108" s="3"/>
      <c r="N108" s="3"/>
    </row>
    <row r="109" ht="15.75" customHeight="1">
      <c r="A109" s="3"/>
      <c r="B109" s="3"/>
      <c r="C109" s="3"/>
      <c r="D109" s="3"/>
      <c r="E109" s="3"/>
      <c r="F109" s="3"/>
      <c r="G109" s="3"/>
      <c r="H109" s="3"/>
      <c r="I109" s="3"/>
      <c r="J109" s="3"/>
      <c r="K109" s="3"/>
      <c r="L109" s="3"/>
      <c r="M109" s="3"/>
      <c r="N109" s="3"/>
    </row>
    <row r="110" ht="15.75" customHeight="1">
      <c r="A110" s="3"/>
      <c r="B110" s="3"/>
      <c r="C110" s="3"/>
      <c r="D110" s="3"/>
      <c r="E110" s="3"/>
      <c r="F110" s="3"/>
      <c r="G110" s="3"/>
      <c r="H110" s="3"/>
      <c r="I110" s="3"/>
      <c r="J110" s="3"/>
      <c r="K110" s="3"/>
      <c r="L110" s="3"/>
      <c r="M110" s="3"/>
      <c r="N110" s="3"/>
    </row>
    <row r="111" ht="15.75" customHeight="1">
      <c r="A111" s="3"/>
      <c r="B111" s="3"/>
      <c r="C111" s="3"/>
      <c r="D111" s="3"/>
      <c r="E111" s="3"/>
      <c r="F111" s="3"/>
      <c r="G111" s="3"/>
      <c r="H111" s="3"/>
      <c r="I111" s="3"/>
      <c r="J111" s="3"/>
      <c r="K111" s="3"/>
      <c r="L111" s="3"/>
      <c r="M111" s="3"/>
      <c r="N111" s="3"/>
    </row>
    <row r="112" ht="15.75" customHeight="1">
      <c r="A112" s="3"/>
      <c r="B112" s="3"/>
      <c r="C112" s="3"/>
      <c r="D112" s="3"/>
      <c r="E112" s="3"/>
      <c r="F112" s="3"/>
      <c r="G112" s="3"/>
      <c r="H112" s="3"/>
      <c r="I112" s="3"/>
      <c r="J112" s="3"/>
      <c r="K112" s="3"/>
      <c r="L112" s="3"/>
      <c r="M112" s="3"/>
      <c r="N112" s="3"/>
    </row>
    <row r="113" ht="15.75" customHeight="1">
      <c r="A113" s="3"/>
      <c r="B113" s="3"/>
      <c r="C113" s="3"/>
      <c r="D113" s="3"/>
      <c r="E113" s="3"/>
      <c r="F113" s="3"/>
      <c r="G113" s="3"/>
      <c r="H113" s="3"/>
      <c r="I113" s="3"/>
      <c r="J113" s="3"/>
      <c r="K113" s="3"/>
      <c r="L113" s="3"/>
      <c r="M113" s="3"/>
      <c r="N113" s="3"/>
    </row>
    <row r="114" ht="15.75" customHeight="1">
      <c r="A114" s="3"/>
      <c r="B114" s="3"/>
      <c r="C114" s="3"/>
      <c r="D114" s="3"/>
      <c r="E114" s="3"/>
      <c r="F114" s="3"/>
      <c r="G114" s="3"/>
      <c r="H114" s="3"/>
      <c r="I114" s="3"/>
      <c r="J114" s="3"/>
      <c r="K114" s="3"/>
      <c r="L114" s="3"/>
      <c r="M114" s="3"/>
      <c r="N114" s="3"/>
    </row>
    <row r="115" ht="15.75" customHeight="1">
      <c r="A115" s="3"/>
      <c r="B115" s="3"/>
      <c r="C115" s="3"/>
      <c r="D115" s="3"/>
      <c r="E115" s="3"/>
      <c r="F115" s="3"/>
      <c r="G115" s="3"/>
      <c r="H115" s="3"/>
      <c r="I115" s="3"/>
      <c r="J115" s="3"/>
      <c r="K115" s="3"/>
      <c r="L115" s="3"/>
      <c r="M115" s="3"/>
      <c r="N115" s="3"/>
    </row>
    <row r="116" ht="15.75" customHeight="1">
      <c r="A116" s="3"/>
      <c r="B116" s="3"/>
      <c r="C116" s="3"/>
      <c r="D116" s="3"/>
      <c r="E116" s="3"/>
      <c r="F116" s="3"/>
      <c r="G116" s="3"/>
      <c r="H116" s="3"/>
      <c r="I116" s="3"/>
      <c r="J116" s="3"/>
      <c r="K116" s="3"/>
      <c r="L116" s="3"/>
      <c r="M116" s="3"/>
      <c r="N116" s="3"/>
    </row>
    <row r="117" ht="15.75" customHeight="1">
      <c r="A117" s="3"/>
      <c r="B117" s="3"/>
      <c r="C117" s="3"/>
      <c r="D117" s="3"/>
      <c r="E117" s="3"/>
      <c r="F117" s="3"/>
      <c r="G117" s="3"/>
      <c r="H117" s="3"/>
      <c r="I117" s="3"/>
      <c r="J117" s="3"/>
      <c r="K117" s="3"/>
      <c r="L117" s="3"/>
      <c r="M117" s="3"/>
      <c r="N117" s="3"/>
    </row>
    <row r="118" ht="15.75" customHeight="1">
      <c r="A118" s="3"/>
      <c r="B118" s="3"/>
      <c r="C118" s="3"/>
      <c r="D118" s="3"/>
      <c r="E118" s="3"/>
      <c r="F118" s="3"/>
      <c r="G118" s="3"/>
      <c r="H118" s="3"/>
      <c r="I118" s="3"/>
      <c r="J118" s="3"/>
      <c r="K118" s="3"/>
      <c r="L118" s="3"/>
      <c r="M118" s="3"/>
      <c r="N118" s="3"/>
    </row>
    <row r="119" ht="15.75" customHeight="1">
      <c r="A119" s="3"/>
      <c r="B119" s="3"/>
      <c r="C119" s="3"/>
      <c r="D119" s="3"/>
      <c r="E119" s="3"/>
      <c r="F119" s="3"/>
      <c r="G119" s="3"/>
      <c r="H119" s="3"/>
      <c r="I119" s="3"/>
      <c r="J119" s="3"/>
      <c r="K119" s="3"/>
      <c r="L119" s="3"/>
      <c r="M119" s="3"/>
      <c r="N119" s="3"/>
    </row>
    <row r="120" ht="15.75" customHeight="1">
      <c r="A120" s="3"/>
      <c r="B120" s="3"/>
      <c r="C120" s="3"/>
      <c r="D120" s="3"/>
      <c r="E120" s="3"/>
      <c r="F120" s="3"/>
      <c r="G120" s="3"/>
      <c r="H120" s="3"/>
      <c r="I120" s="3"/>
      <c r="J120" s="3"/>
      <c r="K120" s="3"/>
      <c r="L120" s="3"/>
      <c r="M120" s="3"/>
      <c r="N120" s="3"/>
    </row>
    <row r="121" ht="15.75" customHeight="1">
      <c r="A121" s="3"/>
      <c r="B121" s="3"/>
      <c r="C121" s="3"/>
      <c r="D121" s="3"/>
      <c r="E121" s="3"/>
      <c r="F121" s="3"/>
      <c r="G121" s="3"/>
      <c r="H121" s="3"/>
      <c r="I121" s="3"/>
      <c r="J121" s="3"/>
      <c r="K121" s="3"/>
      <c r="L121" s="3"/>
      <c r="M121" s="3"/>
      <c r="N121" s="3"/>
    </row>
    <row r="122" ht="15.75" customHeight="1">
      <c r="A122" s="3"/>
      <c r="B122" s="3"/>
      <c r="C122" s="3"/>
      <c r="D122" s="3"/>
      <c r="E122" s="3"/>
      <c r="F122" s="3"/>
      <c r="G122" s="3"/>
      <c r="H122" s="3"/>
      <c r="I122" s="3"/>
      <c r="J122" s="3"/>
      <c r="K122" s="3"/>
      <c r="L122" s="3"/>
      <c r="M122" s="3"/>
      <c r="N122" s="3"/>
    </row>
    <row r="123" ht="15.75" customHeight="1">
      <c r="A123" s="3"/>
      <c r="B123" s="3"/>
      <c r="C123" s="3"/>
      <c r="D123" s="3"/>
      <c r="E123" s="3"/>
      <c r="F123" s="3"/>
      <c r="G123" s="3"/>
      <c r="H123" s="3"/>
      <c r="I123" s="3"/>
      <c r="J123" s="3"/>
      <c r="K123" s="3"/>
      <c r="L123" s="3"/>
      <c r="M123" s="3"/>
      <c r="N123" s="3"/>
    </row>
    <row r="124" ht="15.75" customHeight="1">
      <c r="A124" s="3"/>
      <c r="B124" s="3"/>
      <c r="C124" s="3"/>
      <c r="D124" s="3"/>
      <c r="E124" s="3"/>
      <c r="F124" s="3"/>
      <c r="G124" s="3"/>
      <c r="H124" s="3"/>
      <c r="I124" s="3"/>
      <c r="J124" s="3"/>
      <c r="K124" s="3"/>
      <c r="L124" s="3"/>
      <c r="M124" s="3"/>
      <c r="N124" s="3"/>
    </row>
    <row r="125" ht="15.75" customHeight="1">
      <c r="A125" s="3"/>
      <c r="B125" s="3"/>
      <c r="C125" s="3"/>
      <c r="D125" s="3"/>
      <c r="E125" s="3"/>
      <c r="F125" s="3"/>
      <c r="G125" s="3"/>
      <c r="H125" s="3"/>
      <c r="I125" s="3"/>
      <c r="J125" s="3"/>
      <c r="K125" s="3"/>
      <c r="L125" s="3"/>
      <c r="M125" s="3"/>
      <c r="N125" s="3"/>
    </row>
    <row r="126" ht="15.75" customHeight="1">
      <c r="A126" s="3"/>
      <c r="B126" s="3"/>
      <c r="C126" s="3"/>
      <c r="D126" s="3"/>
      <c r="E126" s="3"/>
      <c r="F126" s="3"/>
      <c r="G126" s="3"/>
      <c r="H126" s="3"/>
      <c r="I126" s="3"/>
      <c r="J126" s="3"/>
      <c r="K126" s="3"/>
      <c r="L126" s="3"/>
      <c r="M126" s="3"/>
      <c r="N126" s="3"/>
    </row>
    <row r="127" ht="15.75" customHeight="1">
      <c r="A127" s="3"/>
      <c r="B127" s="3"/>
      <c r="C127" s="3"/>
      <c r="D127" s="3"/>
      <c r="E127" s="3"/>
      <c r="F127" s="3"/>
      <c r="G127" s="3"/>
      <c r="H127" s="3"/>
      <c r="I127" s="3"/>
      <c r="J127" s="3"/>
      <c r="K127" s="3"/>
      <c r="L127" s="3"/>
      <c r="M127" s="3"/>
      <c r="N127" s="3"/>
    </row>
    <row r="128" ht="15.75" customHeight="1">
      <c r="A128" s="3"/>
      <c r="B128" s="3"/>
      <c r="C128" s="3"/>
      <c r="D128" s="3"/>
      <c r="E128" s="3"/>
      <c r="F128" s="3"/>
      <c r="G128" s="3"/>
      <c r="H128" s="3"/>
      <c r="I128" s="3"/>
      <c r="J128" s="3"/>
      <c r="K128" s="3"/>
      <c r="L128" s="3"/>
      <c r="M128" s="3"/>
      <c r="N128" s="3"/>
    </row>
    <row r="129" ht="15.75" customHeight="1">
      <c r="A129" s="3"/>
      <c r="B129" s="3"/>
      <c r="C129" s="3"/>
      <c r="D129" s="3"/>
      <c r="E129" s="3"/>
      <c r="F129" s="3"/>
      <c r="G129" s="3"/>
      <c r="H129" s="3"/>
      <c r="I129" s="3"/>
      <c r="J129" s="3"/>
      <c r="K129" s="3"/>
      <c r="L129" s="3"/>
      <c r="M129" s="3"/>
      <c r="N129" s="3"/>
    </row>
    <row r="130" ht="15.75" customHeight="1">
      <c r="A130" s="3"/>
      <c r="B130" s="3"/>
      <c r="C130" s="3"/>
      <c r="D130" s="3"/>
      <c r="E130" s="3"/>
      <c r="F130" s="3"/>
      <c r="G130" s="3"/>
      <c r="H130" s="3"/>
      <c r="I130" s="3"/>
      <c r="J130" s="3"/>
      <c r="K130" s="3"/>
      <c r="L130" s="3"/>
      <c r="M130" s="3"/>
      <c r="N130" s="3"/>
    </row>
    <row r="131" ht="15.75" customHeight="1">
      <c r="A131" s="3"/>
      <c r="B131" s="3"/>
      <c r="C131" s="3"/>
      <c r="D131" s="3"/>
      <c r="E131" s="3"/>
      <c r="F131" s="3"/>
      <c r="G131" s="3"/>
      <c r="H131" s="3"/>
      <c r="I131" s="3"/>
      <c r="J131" s="3"/>
      <c r="K131" s="3"/>
      <c r="L131" s="3"/>
      <c r="M131" s="3"/>
      <c r="N131" s="3"/>
    </row>
    <row r="132" ht="15.75" customHeight="1">
      <c r="A132" s="3"/>
      <c r="B132" s="3"/>
      <c r="C132" s="3"/>
      <c r="D132" s="3"/>
      <c r="E132" s="3"/>
      <c r="F132" s="3"/>
      <c r="G132" s="3"/>
      <c r="H132" s="3"/>
      <c r="I132" s="3"/>
      <c r="J132" s="3"/>
      <c r="K132" s="3"/>
      <c r="L132" s="3"/>
      <c r="M132" s="3"/>
      <c r="N132" s="3"/>
    </row>
    <row r="133" ht="15.75" customHeight="1">
      <c r="A133" s="3"/>
      <c r="B133" s="3"/>
      <c r="C133" s="3"/>
      <c r="D133" s="3"/>
      <c r="E133" s="3"/>
      <c r="F133" s="3"/>
      <c r="G133" s="3"/>
      <c r="H133" s="3"/>
      <c r="I133" s="3"/>
      <c r="J133" s="3"/>
      <c r="K133" s="3"/>
      <c r="L133" s="3"/>
      <c r="M133" s="3"/>
      <c r="N133" s="3"/>
    </row>
    <row r="134" ht="15.75" customHeight="1">
      <c r="A134" s="3"/>
      <c r="B134" s="3"/>
      <c r="C134" s="3"/>
      <c r="D134" s="3"/>
      <c r="E134" s="3"/>
      <c r="F134" s="3"/>
      <c r="G134" s="3"/>
      <c r="H134" s="3"/>
      <c r="I134" s="3"/>
      <c r="J134" s="3"/>
      <c r="K134" s="3"/>
      <c r="L134" s="3"/>
      <c r="M134" s="3"/>
      <c r="N134" s="3"/>
    </row>
    <row r="135" ht="15.75" customHeight="1">
      <c r="A135" s="3"/>
      <c r="B135" s="3"/>
      <c r="C135" s="3"/>
      <c r="D135" s="3"/>
      <c r="E135" s="3"/>
      <c r="F135" s="3"/>
      <c r="G135" s="3"/>
      <c r="H135" s="3"/>
      <c r="I135" s="3"/>
      <c r="J135" s="3"/>
      <c r="K135" s="3"/>
      <c r="L135" s="3"/>
      <c r="M135" s="3"/>
      <c r="N135" s="3"/>
    </row>
    <row r="136" ht="15.75" customHeight="1">
      <c r="A136" s="3"/>
      <c r="B136" s="3"/>
      <c r="C136" s="3"/>
      <c r="D136" s="3"/>
      <c r="E136" s="3"/>
      <c r="F136" s="3"/>
      <c r="G136" s="3"/>
      <c r="H136" s="3"/>
      <c r="I136" s="3"/>
      <c r="J136" s="3"/>
      <c r="K136" s="3"/>
      <c r="L136" s="3"/>
      <c r="M136" s="3"/>
      <c r="N136" s="3"/>
    </row>
    <row r="137" ht="15.75" customHeight="1">
      <c r="A137" s="3"/>
      <c r="B137" s="3"/>
      <c r="C137" s="3"/>
      <c r="D137" s="3"/>
      <c r="E137" s="3"/>
      <c r="F137" s="3"/>
      <c r="G137" s="3"/>
      <c r="H137" s="3"/>
      <c r="I137" s="3"/>
      <c r="J137" s="3"/>
      <c r="K137" s="3"/>
      <c r="L137" s="3"/>
      <c r="M137" s="3"/>
      <c r="N137" s="3"/>
    </row>
    <row r="138" ht="15.75" customHeight="1">
      <c r="A138" s="3"/>
      <c r="B138" s="3"/>
      <c r="C138" s="3"/>
      <c r="D138" s="3"/>
      <c r="E138" s="3"/>
      <c r="F138" s="3"/>
      <c r="G138" s="3"/>
      <c r="H138" s="3"/>
      <c r="I138" s="3"/>
      <c r="J138" s="3"/>
      <c r="K138" s="3"/>
      <c r="L138" s="3"/>
      <c r="M138" s="3"/>
      <c r="N138" s="3"/>
    </row>
    <row r="139" ht="15.75" customHeight="1">
      <c r="A139" s="3"/>
      <c r="B139" s="3"/>
      <c r="C139" s="3"/>
      <c r="D139" s="3"/>
      <c r="E139" s="3"/>
      <c r="F139" s="3"/>
      <c r="G139" s="3"/>
      <c r="H139" s="3"/>
      <c r="I139" s="3"/>
      <c r="J139" s="3"/>
      <c r="K139" s="3"/>
      <c r="L139" s="3"/>
      <c r="M139" s="3"/>
      <c r="N139" s="3"/>
    </row>
    <row r="140" ht="15.75" customHeight="1">
      <c r="A140" s="3"/>
      <c r="B140" s="3"/>
      <c r="C140" s="3"/>
      <c r="D140" s="3"/>
      <c r="E140" s="3"/>
      <c r="F140" s="3"/>
      <c r="G140" s="3"/>
      <c r="H140" s="3"/>
      <c r="I140" s="3"/>
      <c r="J140" s="3"/>
      <c r="K140" s="3"/>
      <c r="L140" s="3"/>
      <c r="M140" s="3"/>
      <c r="N140" s="3"/>
    </row>
    <row r="141" ht="15.75" customHeight="1">
      <c r="A141" s="3"/>
      <c r="B141" s="3"/>
      <c r="C141" s="3"/>
      <c r="D141" s="3"/>
      <c r="E141" s="3"/>
      <c r="F141" s="3"/>
      <c r="G141" s="3"/>
      <c r="H141" s="3"/>
      <c r="I141" s="3"/>
      <c r="J141" s="3"/>
      <c r="K141" s="3"/>
      <c r="L141" s="3"/>
      <c r="M141" s="3"/>
      <c r="N141" s="3"/>
    </row>
    <row r="142" ht="15.75" customHeight="1">
      <c r="A142" s="3"/>
      <c r="B142" s="3"/>
      <c r="C142" s="3"/>
      <c r="D142" s="3"/>
      <c r="E142" s="3"/>
      <c r="F142" s="3"/>
      <c r="G142" s="3"/>
      <c r="H142" s="3"/>
      <c r="I142" s="3"/>
      <c r="J142" s="3"/>
      <c r="K142" s="3"/>
      <c r="L142" s="3"/>
      <c r="M142" s="3"/>
      <c r="N142" s="3"/>
    </row>
    <row r="143" ht="15.75" customHeight="1">
      <c r="A143" s="3"/>
      <c r="B143" s="3"/>
      <c r="C143" s="3"/>
      <c r="D143" s="3"/>
      <c r="E143" s="3"/>
      <c r="F143" s="3"/>
      <c r="G143" s="3"/>
      <c r="H143" s="3"/>
      <c r="I143" s="3"/>
      <c r="J143" s="3"/>
      <c r="K143" s="3"/>
      <c r="L143" s="3"/>
      <c r="M143" s="3"/>
      <c r="N143" s="3"/>
    </row>
    <row r="144" ht="15.75" customHeight="1">
      <c r="A144" s="3"/>
      <c r="B144" s="3"/>
      <c r="C144" s="3"/>
      <c r="D144" s="3"/>
      <c r="E144" s="3"/>
      <c r="F144" s="3"/>
      <c r="G144" s="3"/>
      <c r="H144" s="3"/>
      <c r="I144" s="3"/>
      <c r="J144" s="3"/>
      <c r="K144" s="3"/>
      <c r="L144" s="3"/>
      <c r="M144" s="3"/>
      <c r="N144" s="3"/>
    </row>
    <row r="145" ht="15.75" customHeight="1">
      <c r="A145" s="3"/>
      <c r="B145" s="3"/>
      <c r="C145" s="3"/>
      <c r="D145" s="3"/>
      <c r="E145" s="3"/>
      <c r="F145" s="3"/>
      <c r="G145" s="3"/>
      <c r="H145" s="3"/>
      <c r="I145" s="3"/>
      <c r="J145" s="3"/>
      <c r="K145" s="3"/>
      <c r="L145" s="3"/>
      <c r="M145" s="3"/>
      <c r="N145" s="3"/>
    </row>
    <row r="146" ht="15.75" customHeight="1">
      <c r="A146" s="3"/>
      <c r="B146" s="3"/>
      <c r="C146" s="3"/>
      <c r="D146" s="3"/>
      <c r="E146" s="3"/>
      <c r="F146" s="3"/>
      <c r="G146" s="3"/>
      <c r="H146" s="3"/>
      <c r="I146" s="3"/>
      <c r="J146" s="3"/>
      <c r="K146" s="3"/>
      <c r="L146" s="3"/>
      <c r="M146" s="3"/>
      <c r="N146" s="3"/>
    </row>
    <row r="147" ht="15.75" customHeight="1">
      <c r="A147" s="3"/>
      <c r="B147" s="3"/>
      <c r="C147" s="3"/>
      <c r="D147" s="3"/>
      <c r="E147" s="3"/>
      <c r="F147" s="3"/>
      <c r="G147" s="3"/>
      <c r="H147" s="3"/>
      <c r="I147" s="3"/>
      <c r="J147" s="3"/>
      <c r="K147" s="3"/>
      <c r="L147" s="3"/>
      <c r="M147" s="3"/>
      <c r="N147" s="3"/>
    </row>
    <row r="148" ht="15.75" customHeight="1">
      <c r="A148" s="3"/>
      <c r="B148" s="3"/>
      <c r="C148" s="3"/>
      <c r="D148" s="3"/>
      <c r="E148" s="3"/>
      <c r="F148" s="3"/>
      <c r="G148" s="3"/>
      <c r="H148" s="3"/>
      <c r="I148" s="3"/>
      <c r="J148" s="3"/>
      <c r="K148" s="3"/>
      <c r="L148" s="3"/>
      <c r="M148" s="3"/>
      <c r="N148" s="3"/>
    </row>
    <row r="149" ht="15.75" customHeight="1">
      <c r="A149" s="3"/>
      <c r="B149" s="3"/>
      <c r="C149" s="3"/>
      <c r="D149" s="3"/>
      <c r="E149" s="3"/>
      <c r="F149" s="3"/>
      <c r="G149" s="3"/>
      <c r="H149" s="3"/>
      <c r="I149" s="3"/>
      <c r="J149" s="3"/>
      <c r="K149" s="3"/>
      <c r="L149" s="3"/>
      <c r="M149" s="3"/>
      <c r="N149" s="3"/>
    </row>
    <row r="150" ht="15.75" customHeight="1">
      <c r="A150" s="3"/>
      <c r="B150" s="3"/>
      <c r="C150" s="3"/>
      <c r="D150" s="3"/>
      <c r="E150" s="3"/>
      <c r="F150" s="3"/>
      <c r="G150" s="3"/>
      <c r="H150" s="3"/>
      <c r="I150" s="3"/>
      <c r="J150" s="3"/>
      <c r="K150" s="3"/>
      <c r="L150" s="3"/>
      <c r="M150" s="3"/>
      <c r="N150" s="3"/>
    </row>
    <row r="151" ht="15.75" customHeight="1">
      <c r="A151" s="3"/>
      <c r="B151" s="3"/>
      <c r="C151" s="3"/>
      <c r="D151" s="3"/>
      <c r="E151" s="3"/>
      <c r="F151" s="3"/>
      <c r="G151" s="3"/>
      <c r="H151" s="3"/>
      <c r="I151" s="3"/>
      <c r="J151" s="3"/>
      <c r="K151" s="3"/>
      <c r="L151" s="3"/>
      <c r="M151" s="3"/>
      <c r="N151" s="3"/>
    </row>
    <row r="152" ht="15.75" customHeight="1">
      <c r="A152" s="3"/>
      <c r="B152" s="3"/>
      <c r="C152" s="3"/>
      <c r="D152" s="3"/>
      <c r="E152" s="3"/>
      <c r="F152" s="3"/>
      <c r="G152" s="3"/>
      <c r="H152" s="3"/>
      <c r="I152" s="3"/>
      <c r="J152" s="3"/>
      <c r="K152" s="3"/>
      <c r="L152" s="3"/>
      <c r="M152" s="3"/>
      <c r="N152" s="3"/>
    </row>
    <row r="153" ht="15.75" customHeight="1">
      <c r="A153" s="3"/>
      <c r="B153" s="3"/>
      <c r="C153" s="3"/>
      <c r="D153" s="3"/>
      <c r="E153" s="3"/>
      <c r="F153" s="3"/>
      <c r="G153" s="3"/>
      <c r="H153" s="3"/>
      <c r="I153" s="3"/>
      <c r="J153" s="3"/>
      <c r="K153" s="3"/>
      <c r="L153" s="3"/>
      <c r="M153" s="3"/>
      <c r="N153" s="3"/>
    </row>
    <row r="154" ht="15.75" customHeight="1">
      <c r="A154" s="3"/>
      <c r="B154" s="3"/>
      <c r="C154" s="3"/>
      <c r="D154" s="3"/>
      <c r="E154" s="3"/>
      <c r="F154" s="3"/>
      <c r="G154" s="3"/>
      <c r="H154" s="3"/>
      <c r="I154" s="3"/>
      <c r="J154" s="3"/>
      <c r="K154" s="3"/>
      <c r="L154" s="3"/>
      <c r="M154" s="3"/>
      <c r="N154" s="3"/>
    </row>
    <row r="155" ht="15.75" customHeight="1">
      <c r="A155" s="3"/>
      <c r="B155" s="3"/>
      <c r="C155" s="3"/>
      <c r="D155" s="3"/>
      <c r="E155" s="3"/>
      <c r="F155" s="3"/>
      <c r="G155" s="3"/>
      <c r="H155" s="3"/>
      <c r="I155" s="3"/>
      <c r="J155" s="3"/>
      <c r="K155" s="3"/>
      <c r="L155" s="3"/>
      <c r="M155" s="3"/>
      <c r="N155" s="3"/>
    </row>
    <row r="156" ht="15.75" customHeight="1">
      <c r="A156" s="3"/>
      <c r="B156" s="3"/>
      <c r="C156" s="3"/>
      <c r="D156" s="3"/>
      <c r="E156" s="3"/>
      <c r="F156" s="3"/>
      <c r="G156" s="3"/>
      <c r="H156" s="3"/>
      <c r="I156" s="3"/>
      <c r="J156" s="3"/>
      <c r="K156" s="3"/>
      <c r="L156" s="3"/>
      <c r="M156" s="3"/>
      <c r="N156" s="3"/>
    </row>
    <row r="157" ht="15.75" customHeight="1">
      <c r="A157" s="3"/>
      <c r="B157" s="3"/>
      <c r="C157" s="3"/>
      <c r="D157" s="3"/>
      <c r="E157" s="3"/>
      <c r="F157" s="3"/>
      <c r="G157" s="3"/>
      <c r="H157" s="3"/>
      <c r="I157" s="3"/>
      <c r="J157" s="3"/>
      <c r="K157" s="3"/>
      <c r="L157" s="3"/>
      <c r="M157" s="3"/>
      <c r="N157" s="3"/>
    </row>
    <row r="158" ht="15.75" customHeight="1">
      <c r="A158" s="3"/>
      <c r="B158" s="3"/>
      <c r="C158" s="3"/>
      <c r="D158" s="3"/>
      <c r="E158" s="3"/>
      <c r="F158" s="3"/>
      <c r="G158" s="3"/>
      <c r="H158" s="3"/>
      <c r="I158" s="3"/>
      <c r="J158" s="3"/>
      <c r="K158" s="3"/>
      <c r="L158" s="3"/>
      <c r="M158" s="3"/>
      <c r="N158" s="3"/>
    </row>
    <row r="159" ht="15.75" customHeight="1">
      <c r="A159" s="3"/>
      <c r="B159" s="3"/>
      <c r="C159" s="3"/>
      <c r="D159" s="3"/>
      <c r="E159" s="3"/>
      <c r="F159" s="3"/>
      <c r="G159" s="3"/>
      <c r="H159" s="3"/>
      <c r="I159" s="3"/>
      <c r="J159" s="3"/>
      <c r="K159" s="3"/>
      <c r="L159" s="3"/>
      <c r="M159" s="3"/>
      <c r="N159" s="3"/>
    </row>
    <row r="160" ht="15.75" customHeight="1">
      <c r="A160" s="3"/>
      <c r="B160" s="3"/>
      <c r="C160" s="3"/>
      <c r="D160" s="3"/>
      <c r="E160" s="3"/>
      <c r="F160" s="3"/>
      <c r="G160" s="3"/>
      <c r="H160" s="3"/>
      <c r="I160" s="3"/>
      <c r="J160" s="3"/>
      <c r="K160" s="3"/>
      <c r="L160" s="3"/>
      <c r="M160" s="3"/>
      <c r="N160" s="3"/>
    </row>
    <row r="161" ht="15.75" customHeight="1">
      <c r="A161" s="3"/>
      <c r="B161" s="3"/>
      <c r="C161" s="3"/>
      <c r="D161" s="3"/>
      <c r="E161" s="3"/>
      <c r="F161" s="3"/>
      <c r="G161" s="3"/>
      <c r="H161" s="3"/>
      <c r="I161" s="3"/>
      <c r="J161" s="3"/>
      <c r="K161" s="3"/>
      <c r="L161" s="3"/>
      <c r="M161" s="3"/>
      <c r="N161" s="3"/>
    </row>
    <row r="162" ht="15.75" customHeight="1">
      <c r="A162" s="3"/>
      <c r="B162" s="3"/>
      <c r="C162" s="3"/>
      <c r="D162" s="3"/>
      <c r="E162" s="3"/>
      <c r="F162" s="3"/>
      <c r="G162" s="3"/>
      <c r="H162" s="3"/>
      <c r="I162" s="3"/>
      <c r="J162" s="3"/>
      <c r="K162" s="3"/>
      <c r="L162" s="3"/>
      <c r="M162" s="3"/>
      <c r="N162" s="3"/>
    </row>
    <row r="163" ht="15.75" customHeight="1">
      <c r="A163" s="3"/>
      <c r="B163" s="3"/>
      <c r="C163" s="3"/>
      <c r="D163" s="3"/>
      <c r="E163" s="3"/>
      <c r="F163" s="3"/>
      <c r="G163" s="3"/>
      <c r="H163" s="3"/>
      <c r="I163" s="3"/>
      <c r="J163" s="3"/>
      <c r="K163" s="3"/>
      <c r="L163" s="3"/>
      <c r="M163" s="3"/>
      <c r="N163" s="3"/>
    </row>
    <row r="164" ht="15.75" customHeight="1">
      <c r="A164" s="3"/>
      <c r="B164" s="3"/>
      <c r="C164" s="3"/>
      <c r="D164" s="3"/>
      <c r="E164" s="3"/>
      <c r="F164" s="3"/>
      <c r="G164" s="3"/>
      <c r="H164" s="3"/>
      <c r="I164" s="3"/>
      <c r="J164" s="3"/>
      <c r="K164" s="3"/>
      <c r="L164" s="3"/>
      <c r="M164" s="3"/>
      <c r="N164" s="3"/>
    </row>
    <row r="165" ht="15.75" customHeight="1">
      <c r="A165" s="3"/>
      <c r="B165" s="3"/>
      <c r="C165" s="3"/>
      <c r="D165" s="3"/>
      <c r="E165" s="3"/>
      <c r="F165" s="3"/>
      <c r="G165" s="3"/>
      <c r="H165" s="3"/>
      <c r="I165" s="3"/>
      <c r="J165" s="3"/>
      <c r="K165" s="3"/>
      <c r="L165" s="3"/>
      <c r="M165" s="3"/>
      <c r="N165" s="3"/>
    </row>
    <row r="166" ht="15.75" customHeight="1">
      <c r="A166" s="3"/>
      <c r="B166" s="3"/>
      <c r="C166" s="3"/>
      <c r="D166" s="3"/>
      <c r="E166" s="3"/>
      <c r="F166" s="3"/>
      <c r="G166" s="3"/>
      <c r="H166" s="3"/>
      <c r="I166" s="3"/>
      <c r="J166" s="3"/>
      <c r="K166" s="3"/>
      <c r="L166" s="3"/>
      <c r="M166" s="3"/>
      <c r="N166" s="3"/>
    </row>
    <row r="167" ht="15.75" customHeight="1">
      <c r="A167" s="3"/>
      <c r="B167" s="3"/>
      <c r="C167" s="3"/>
      <c r="D167" s="3"/>
      <c r="E167" s="3"/>
      <c r="F167" s="3"/>
      <c r="G167" s="3"/>
      <c r="H167" s="3"/>
      <c r="I167" s="3"/>
      <c r="J167" s="3"/>
      <c r="K167" s="3"/>
      <c r="L167" s="3"/>
      <c r="M167" s="3"/>
      <c r="N167" s="3"/>
    </row>
    <row r="168" ht="15.75" customHeight="1">
      <c r="A168" s="3"/>
      <c r="B168" s="3"/>
      <c r="C168" s="3"/>
      <c r="D168" s="3"/>
      <c r="E168" s="3"/>
      <c r="F168" s="3"/>
      <c r="G168" s="3"/>
      <c r="H168" s="3"/>
      <c r="I168" s="3"/>
      <c r="J168" s="3"/>
      <c r="K168" s="3"/>
      <c r="L168" s="3"/>
      <c r="M168" s="3"/>
      <c r="N168" s="3"/>
    </row>
    <row r="169" ht="15.75" customHeight="1">
      <c r="A169" s="3"/>
      <c r="B169" s="3"/>
      <c r="C169" s="3"/>
      <c r="D169" s="3"/>
      <c r="E169" s="3"/>
      <c r="F169" s="3"/>
      <c r="G169" s="3"/>
      <c r="H169" s="3"/>
      <c r="I169" s="3"/>
      <c r="J169" s="3"/>
      <c r="K169" s="3"/>
      <c r="L169" s="3"/>
      <c r="M169" s="3"/>
      <c r="N169" s="3"/>
    </row>
    <row r="170" ht="15.75" customHeight="1">
      <c r="A170" s="3"/>
      <c r="B170" s="3"/>
      <c r="C170" s="3"/>
      <c r="D170" s="3"/>
      <c r="E170" s="3"/>
      <c r="F170" s="3"/>
      <c r="G170" s="3"/>
      <c r="H170" s="3"/>
      <c r="I170" s="3"/>
      <c r="J170" s="3"/>
      <c r="K170" s="3"/>
      <c r="L170" s="3"/>
      <c r="M170" s="3"/>
      <c r="N170" s="3"/>
    </row>
    <row r="171" ht="15.75" customHeight="1">
      <c r="A171" s="3"/>
      <c r="B171" s="3"/>
      <c r="C171" s="3"/>
      <c r="D171" s="3"/>
      <c r="E171" s="3"/>
      <c r="F171" s="3"/>
      <c r="G171" s="3"/>
      <c r="H171" s="3"/>
      <c r="I171" s="3"/>
      <c r="J171" s="3"/>
      <c r="K171" s="3"/>
      <c r="L171" s="3"/>
      <c r="M171" s="3"/>
      <c r="N171" s="3"/>
    </row>
    <row r="172" ht="15.75" customHeight="1">
      <c r="A172" s="3"/>
      <c r="B172" s="3"/>
      <c r="C172" s="3"/>
      <c r="D172" s="3"/>
      <c r="E172" s="3"/>
      <c r="F172" s="3"/>
      <c r="G172" s="3"/>
      <c r="H172" s="3"/>
      <c r="I172" s="3"/>
      <c r="J172" s="3"/>
      <c r="K172" s="3"/>
      <c r="L172" s="3"/>
      <c r="M172" s="3"/>
      <c r="N172" s="3"/>
    </row>
    <row r="173" ht="15.75" customHeight="1">
      <c r="A173" s="3"/>
      <c r="B173" s="3"/>
      <c r="C173" s="3"/>
      <c r="D173" s="3"/>
      <c r="E173" s="3"/>
      <c r="F173" s="3"/>
      <c r="G173" s="3"/>
      <c r="H173" s="3"/>
      <c r="I173" s="3"/>
      <c r="J173" s="3"/>
      <c r="K173" s="3"/>
      <c r="L173" s="3"/>
      <c r="M173" s="3"/>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autoFilter ref="$A$1:$N$75"/>
  <dataValidations>
    <dataValidation type="list" allowBlank="1" sqref="N2:N75">
      <formula1>"Not Executed,Passed,Failed,Blocked"</formula1>
    </dataValidation>
    <dataValidation type="list" allowBlank="1" sqref="M2:M75">
      <formula1>"Automation,Manual"</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4.0"/>
    <col customWidth="1" min="3" max="3" width="30.0"/>
    <col customWidth="1" min="4" max="4" width="10.0"/>
    <col customWidth="1" min="5" max="5" width="40.0"/>
    <col customWidth="1" min="6" max="6" width="32.0"/>
    <col customWidth="1" min="7" max="7" width="34.0"/>
    <col customWidth="1" min="8" max="8" width="55.0"/>
    <col customWidth="1" min="9" max="9" width="45.0"/>
    <col customWidth="1" min="10" max="10" width="30.0"/>
    <col customWidth="1" min="11" max="11" width="12.0"/>
    <col customWidth="1" min="12" max="12" width="13.0"/>
    <col customWidth="1" min="13" max="13" width="14.0"/>
  </cols>
  <sheetData>
    <row r="1" ht="19.5" customHeight="1">
      <c r="A1" s="19" t="s">
        <v>223</v>
      </c>
      <c r="B1" s="19" t="s">
        <v>30</v>
      </c>
      <c r="C1" s="19" t="s">
        <v>224</v>
      </c>
      <c r="D1" s="19" t="s">
        <v>225</v>
      </c>
      <c r="E1" s="19" t="s">
        <v>226</v>
      </c>
      <c r="F1" s="19" t="s">
        <v>227</v>
      </c>
      <c r="G1" s="19" t="s">
        <v>228</v>
      </c>
      <c r="H1" s="19" t="s">
        <v>229</v>
      </c>
      <c r="I1" s="19" t="s">
        <v>230</v>
      </c>
      <c r="J1" s="19" t="s">
        <v>231</v>
      </c>
      <c r="K1" s="19" t="s">
        <v>232</v>
      </c>
      <c r="L1" s="19" t="s">
        <v>233</v>
      </c>
      <c r="M1" s="19" t="s">
        <v>234</v>
      </c>
    </row>
    <row r="2" ht="60.0" customHeight="1">
      <c r="A2" s="20" t="s">
        <v>1152</v>
      </c>
      <c r="B2" s="20" t="s">
        <v>667</v>
      </c>
      <c r="C2" s="20" t="s">
        <v>237</v>
      </c>
      <c r="D2" s="20" t="s">
        <v>238</v>
      </c>
      <c r="E2" s="20" t="s">
        <v>1153</v>
      </c>
      <c r="F2" s="20" t="s">
        <v>1154</v>
      </c>
      <c r="G2" s="20" t="s">
        <v>1155</v>
      </c>
      <c r="H2" s="20" t="s">
        <v>1156</v>
      </c>
      <c r="I2" s="20" t="s">
        <v>1157</v>
      </c>
      <c r="J2" s="20" t="s">
        <v>33</v>
      </c>
      <c r="K2" s="21" t="s">
        <v>244</v>
      </c>
      <c r="L2" s="22" t="s">
        <v>245</v>
      </c>
      <c r="M2" s="23" t="s">
        <v>246</v>
      </c>
    </row>
    <row r="3" ht="60.0" customHeight="1">
      <c r="A3" s="20" t="s">
        <v>1158</v>
      </c>
      <c r="B3" s="20" t="s">
        <v>667</v>
      </c>
      <c r="C3" s="20" t="s">
        <v>237</v>
      </c>
      <c r="D3" s="20" t="s">
        <v>248</v>
      </c>
      <c r="E3" s="20" t="s">
        <v>1159</v>
      </c>
      <c r="F3" s="20" t="s">
        <v>1160</v>
      </c>
      <c r="G3" s="20" t="s">
        <v>1161</v>
      </c>
      <c r="H3" s="20" t="s">
        <v>1162</v>
      </c>
      <c r="I3" s="20" t="s">
        <v>1163</v>
      </c>
      <c r="J3" s="20" t="s">
        <v>33</v>
      </c>
      <c r="K3" s="24" t="s">
        <v>254</v>
      </c>
      <c r="L3" s="29" t="s">
        <v>673</v>
      </c>
      <c r="M3" s="23" t="s">
        <v>246</v>
      </c>
    </row>
    <row r="4" ht="60.0" customHeight="1">
      <c r="A4" s="20" t="s">
        <v>1164</v>
      </c>
      <c r="B4" s="20" t="s">
        <v>667</v>
      </c>
      <c r="C4" s="20" t="s">
        <v>237</v>
      </c>
      <c r="D4" s="20" t="s">
        <v>248</v>
      </c>
      <c r="E4" s="20" t="s">
        <v>1165</v>
      </c>
      <c r="F4" s="20" t="s">
        <v>1166</v>
      </c>
      <c r="G4" s="20" t="s">
        <v>1161</v>
      </c>
      <c r="H4" s="20" t="s">
        <v>1167</v>
      </c>
      <c r="I4" s="20" t="s">
        <v>1168</v>
      </c>
      <c r="J4" s="20" t="s">
        <v>33</v>
      </c>
      <c r="K4" s="24" t="s">
        <v>254</v>
      </c>
      <c r="L4" s="29" t="s">
        <v>673</v>
      </c>
      <c r="M4" s="23" t="s">
        <v>246</v>
      </c>
    </row>
    <row r="5" ht="46.5" customHeight="1">
      <c r="A5" s="20" t="s">
        <v>1169</v>
      </c>
      <c r="B5" s="20" t="s">
        <v>667</v>
      </c>
      <c r="C5" s="20" t="s">
        <v>1170</v>
      </c>
      <c r="D5" s="20" t="s">
        <v>248</v>
      </c>
      <c r="E5" s="20" t="s">
        <v>906</v>
      </c>
      <c r="F5" s="20" t="s">
        <v>1171</v>
      </c>
      <c r="G5" s="20" t="s">
        <v>1172</v>
      </c>
      <c r="H5" s="20" t="s">
        <v>1173</v>
      </c>
      <c r="I5" s="20" t="s">
        <v>1174</v>
      </c>
      <c r="J5" s="20" t="s">
        <v>33</v>
      </c>
      <c r="K5" s="21" t="s">
        <v>244</v>
      </c>
      <c r="L5" s="22" t="s">
        <v>245</v>
      </c>
      <c r="M5" s="23" t="s">
        <v>246</v>
      </c>
    </row>
    <row r="6" ht="60.0" customHeight="1">
      <c r="A6" s="20" t="s">
        <v>1175</v>
      </c>
      <c r="B6" s="20" t="s">
        <v>667</v>
      </c>
      <c r="C6" s="20" t="s">
        <v>1176</v>
      </c>
      <c r="D6" s="20" t="s">
        <v>248</v>
      </c>
      <c r="E6" s="20" t="s">
        <v>1177</v>
      </c>
      <c r="F6" s="20" t="s">
        <v>1178</v>
      </c>
      <c r="G6" s="20" t="s">
        <v>1172</v>
      </c>
      <c r="H6" s="20" t="s">
        <v>1179</v>
      </c>
      <c r="I6" s="20" t="s">
        <v>1180</v>
      </c>
      <c r="J6" s="20" t="s">
        <v>33</v>
      </c>
      <c r="K6" s="21" t="s">
        <v>244</v>
      </c>
      <c r="L6" s="22" t="s">
        <v>245</v>
      </c>
      <c r="M6" s="23" t="s">
        <v>246</v>
      </c>
    </row>
    <row r="7" ht="46.5" customHeight="1">
      <c r="A7" s="20" t="s">
        <v>1181</v>
      </c>
      <c r="B7" s="20" t="s">
        <v>667</v>
      </c>
      <c r="C7" s="20" t="s">
        <v>1182</v>
      </c>
      <c r="D7" s="20" t="s">
        <v>304</v>
      </c>
      <c r="E7" s="20" t="s">
        <v>1183</v>
      </c>
      <c r="F7" s="20" t="s">
        <v>1184</v>
      </c>
      <c r="G7" s="20" t="s">
        <v>1172</v>
      </c>
      <c r="H7" s="20" t="s">
        <v>1185</v>
      </c>
      <c r="I7" s="20" t="s">
        <v>1186</v>
      </c>
      <c r="J7" s="20" t="s">
        <v>33</v>
      </c>
      <c r="K7" s="24" t="s">
        <v>254</v>
      </c>
      <c r="L7" s="29" t="s">
        <v>673</v>
      </c>
      <c r="M7" s="23" t="s">
        <v>246</v>
      </c>
    </row>
    <row r="8" ht="46.5" customHeight="1">
      <c r="A8" s="20" t="s">
        <v>1187</v>
      </c>
      <c r="B8" s="20" t="s">
        <v>667</v>
      </c>
      <c r="C8" s="20" t="s">
        <v>1188</v>
      </c>
      <c r="D8" s="20" t="s">
        <v>304</v>
      </c>
      <c r="E8" s="20" t="s">
        <v>906</v>
      </c>
      <c r="F8" s="20" t="s">
        <v>1189</v>
      </c>
      <c r="G8" s="20" t="s">
        <v>1172</v>
      </c>
      <c r="H8" s="20" t="s">
        <v>1190</v>
      </c>
      <c r="I8" s="20" t="s">
        <v>1191</v>
      </c>
      <c r="J8" s="20" t="s">
        <v>33</v>
      </c>
      <c r="K8" s="24" t="s">
        <v>254</v>
      </c>
      <c r="L8" s="29" t="s">
        <v>673</v>
      </c>
      <c r="M8" s="23" t="s">
        <v>246</v>
      </c>
    </row>
    <row r="9" ht="33.0" customHeight="1">
      <c r="A9" s="20" t="s">
        <v>1192</v>
      </c>
      <c r="B9" s="20" t="s">
        <v>667</v>
      </c>
      <c r="C9" s="20" t="s">
        <v>1193</v>
      </c>
      <c r="D9" s="20" t="s">
        <v>304</v>
      </c>
      <c r="E9" s="20" t="s">
        <v>906</v>
      </c>
      <c r="F9" s="20" t="s">
        <v>33</v>
      </c>
      <c r="G9" s="20" t="s">
        <v>1172</v>
      </c>
      <c r="H9" s="20" t="s">
        <v>1194</v>
      </c>
      <c r="I9" s="20" t="s">
        <v>1195</v>
      </c>
      <c r="J9" s="20" t="s">
        <v>33</v>
      </c>
      <c r="K9" s="24" t="s">
        <v>254</v>
      </c>
      <c r="L9" s="22" t="s">
        <v>245</v>
      </c>
      <c r="M9" s="23" t="s">
        <v>246</v>
      </c>
    </row>
    <row r="10" ht="60.0" customHeight="1">
      <c r="A10" s="20" t="s">
        <v>1196</v>
      </c>
      <c r="B10" s="20" t="s">
        <v>667</v>
      </c>
      <c r="C10" s="20" t="s">
        <v>877</v>
      </c>
      <c r="D10" s="20" t="s">
        <v>238</v>
      </c>
      <c r="E10" s="20" t="s">
        <v>1197</v>
      </c>
      <c r="F10" s="20" t="s">
        <v>1198</v>
      </c>
      <c r="G10" s="20" t="s">
        <v>1199</v>
      </c>
      <c r="H10" s="20" t="s">
        <v>1200</v>
      </c>
      <c r="I10" s="20" t="s">
        <v>1201</v>
      </c>
      <c r="J10" s="20" t="s">
        <v>33</v>
      </c>
      <c r="K10" s="21" t="s">
        <v>244</v>
      </c>
      <c r="L10" s="29" t="s">
        <v>673</v>
      </c>
      <c r="M10" s="23" t="s">
        <v>246</v>
      </c>
    </row>
    <row r="11" ht="46.5" customHeight="1">
      <c r="A11" s="20" t="s">
        <v>1202</v>
      </c>
      <c r="B11" s="20" t="s">
        <v>667</v>
      </c>
      <c r="C11" s="20" t="s">
        <v>1203</v>
      </c>
      <c r="D11" s="20" t="s">
        <v>248</v>
      </c>
      <c r="E11" s="20" t="s">
        <v>906</v>
      </c>
      <c r="F11" s="20" t="s">
        <v>33</v>
      </c>
      <c r="G11" s="20" t="s">
        <v>1204</v>
      </c>
      <c r="H11" s="20" t="s">
        <v>1205</v>
      </c>
      <c r="I11" s="20" t="s">
        <v>1206</v>
      </c>
      <c r="J11" s="20" t="s">
        <v>33</v>
      </c>
      <c r="K11" s="21" t="s">
        <v>244</v>
      </c>
      <c r="L11" s="22" t="s">
        <v>245</v>
      </c>
      <c r="M11" s="23" t="s">
        <v>246</v>
      </c>
    </row>
    <row r="12" ht="60.0" customHeight="1">
      <c r="A12" s="20" t="s">
        <v>1207</v>
      </c>
      <c r="B12" s="20" t="s">
        <v>667</v>
      </c>
      <c r="C12" s="20" t="s">
        <v>1208</v>
      </c>
      <c r="D12" s="20" t="s">
        <v>238</v>
      </c>
      <c r="E12" s="20" t="s">
        <v>1209</v>
      </c>
      <c r="F12" s="20" t="s">
        <v>33</v>
      </c>
      <c r="G12" s="20" t="s">
        <v>1210</v>
      </c>
      <c r="H12" s="20" t="s">
        <v>1211</v>
      </c>
      <c r="I12" s="20" t="s">
        <v>1212</v>
      </c>
      <c r="J12" s="20" t="s">
        <v>33</v>
      </c>
      <c r="K12" s="21" t="s">
        <v>244</v>
      </c>
      <c r="L12" s="22" t="s">
        <v>245</v>
      </c>
      <c r="M12" s="23" t="s">
        <v>246</v>
      </c>
    </row>
    <row r="13" ht="73.5" customHeight="1">
      <c r="A13" s="20" t="s">
        <v>1213</v>
      </c>
      <c r="B13" s="20" t="s">
        <v>667</v>
      </c>
      <c r="C13" s="20" t="s">
        <v>1214</v>
      </c>
      <c r="D13" s="20" t="s">
        <v>238</v>
      </c>
      <c r="E13" s="20" t="s">
        <v>1197</v>
      </c>
      <c r="F13" s="20" t="s">
        <v>1215</v>
      </c>
      <c r="G13" s="20" t="s">
        <v>1216</v>
      </c>
      <c r="H13" s="20" t="s">
        <v>1217</v>
      </c>
      <c r="I13" s="20" t="s">
        <v>1218</v>
      </c>
      <c r="J13" s="20" t="s">
        <v>33</v>
      </c>
      <c r="K13" s="21" t="s">
        <v>244</v>
      </c>
      <c r="L13" s="22" t="s">
        <v>245</v>
      </c>
      <c r="M13" s="23" t="s">
        <v>246</v>
      </c>
    </row>
    <row r="14" ht="46.5" customHeight="1">
      <c r="A14" s="20" t="s">
        <v>1219</v>
      </c>
      <c r="B14" s="20" t="s">
        <v>667</v>
      </c>
      <c r="C14" s="20" t="s">
        <v>853</v>
      </c>
      <c r="D14" s="20" t="s">
        <v>248</v>
      </c>
      <c r="E14" s="20" t="s">
        <v>1220</v>
      </c>
      <c r="F14" s="20" t="s">
        <v>1221</v>
      </c>
      <c r="G14" s="20" t="s">
        <v>1222</v>
      </c>
      <c r="H14" s="20" t="s">
        <v>1223</v>
      </c>
      <c r="I14" s="20" t="s">
        <v>1224</v>
      </c>
      <c r="J14" s="20" t="s">
        <v>33</v>
      </c>
      <c r="K14" s="21" t="s">
        <v>244</v>
      </c>
      <c r="L14" s="22" t="s">
        <v>245</v>
      </c>
      <c r="M14" s="23" t="s">
        <v>246</v>
      </c>
    </row>
    <row r="15" ht="46.5" customHeight="1">
      <c r="A15" s="20" t="s">
        <v>1225</v>
      </c>
      <c r="B15" s="20" t="s">
        <v>667</v>
      </c>
      <c r="C15" s="20" t="s">
        <v>905</v>
      </c>
      <c r="D15" s="20" t="s">
        <v>304</v>
      </c>
      <c r="E15" s="20" t="s">
        <v>906</v>
      </c>
      <c r="F15" s="20" t="s">
        <v>1226</v>
      </c>
      <c r="G15" s="20" t="s">
        <v>1227</v>
      </c>
      <c r="H15" s="20" t="s">
        <v>1228</v>
      </c>
      <c r="I15" s="20" t="s">
        <v>1229</v>
      </c>
      <c r="J15" s="20" t="s">
        <v>33</v>
      </c>
      <c r="K15" s="24" t="s">
        <v>254</v>
      </c>
      <c r="L15" s="22" t="s">
        <v>245</v>
      </c>
      <c r="M15" s="23" t="s">
        <v>246</v>
      </c>
    </row>
    <row r="16" ht="73.5" customHeight="1">
      <c r="A16" s="20" t="s">
        <v>1230</v>
      </c>
      <c r="B16" s="20" t="s">
        <v>667</v>
      </c>
      <c r="C16" s="20" t="s">
        <v>945</v>
      </c>
      <c r="D16" s="20" t="s">
        <v>248</v>
      </c>
      <c r="E16" s="20" t="s">
        <v>1231</v>
      </c>
      <c r="F16" s="20" t="s">
        <v>1232</v>
      </c>
      <c r="G16" s="20" t="s">
        <v>1233</v>
      </c>
      <c r="H16" s="20" t="s">
        <v>1234</v>
      </c>
      <c r="I16" s="20" t="s">
        <v>1235</v>
      </c>
      <c r="J16" s="20" t="s">
        <v>33</v>
      </c>
      <c r="K16" s="24" t="s">
        <v>254</v>
      </c>
      <c r="L16" s="22" t="s">
        <v>245</v>
      </c>
      <c r="M16" s="23" t="s">
        <v>246</v>
      </c>
    </row>
    <row r="17" ht="87.0" customHeight="1">
      <c r="A17" s="20" t="s">
        <v>1236</v>
      </c>
      <c r="B17" s="20" t="s">
        <v>667</v>
      </c>
      <c r="C17" s="20" t="s">
        <v>1065</v>
      </c>
      <c r="D17" s="20" t="s">
        <v>248</v>
      </c>
      <c r="E17" s="20" t="s">
        <v>1237</v>
      </c>
      <c r="F17" s="20" t="s">
        <v>33</v>
      </c>
      <c r="G17" s="20" t="s">
        <v>1238</v>
      </c>
      <c r="H17" s="20" t="s">
        <v>1239</v>
      </c>
      <c r="I17" s="20" t="s">
        <v>1240</v>
      </c>
      <c r="J17" s="20" t="s">
        <v>33</v>
      </c>
      <c r="K17" s="24" t="s">
        <v>254</v>
      </c>
      <c r="L17" s="22" t="s">
        <v>245</v>
      </c>
      <c r="M17" s="23" t="s">
        <v>246</v>
      </c>
    </row>
    <row r="18">
      <c r="A18" s="3"/>
      <c r="B18" s="3"/>
      <c r="C18" s="3"/>
      <c r="D18" s="3"/>
      <c r="E18" s="3"/>
      <c r="F18" s="3"/>
      <c r="G18" s="3"/>
      <c r="H18" s="3"/>
      <c r="I18" s="3"/>
      <c r="J18" s="3"/>
      <c r="K18" s="3"/>
      <c r="L18" s="3"/>
      <c r="M18" s="3"/>
    </row>
    <row r="19">
      <c r="A19" s="3"/>
      <c r="B19" s="3"/>
      <c r="C19" s="3"/>
      <c r="D19" s="3"/>
      <c r="E19" s="3"/>
      <c r="F19" s="3"/>
      <c r="G19" s="3"/>
      <c r="H19" s="3"/>
      <c r="I19" s="3"/>
      <c r="J19" s="3"/>
      <c r="K19" s="3"/>
      <c r="L19" s="3"/>
      <c r="M19" s="3"/>
    </row>
    <row r="20">
      <c r="A20" s="3"/>
      <c r="B20" s="3"/>
      <c r="C20" s="3"/>
      <c r="D20" s="3"/>
      <c r="E20" s="3"/>
      <c r="F20" s="3"/>
      <c r="G20" s="3"/>
      <c r="H20" s="3"/>
      <c r="I20" s="3"/>
      <c r="J20" s="3"/>
      <c r="K20" s="3"/>
      <c r="L20" s="3"/>
      <c r="M20" s="3"/>
    </row>
    <row r="21" ht="15.75" customHeight="1">
      <c r="A21" s="3"/>
      <c r="B21" s="3"/>
      <c r="C21" s="3"/>
      <c r="D21" s="3"/>
      <c r="E21" s="3"/>
      <c r="F21" s="3"/>
      <c r="G21" s="3"/>
      <c r="H21" s="3"/>
      <c r="I21" s="3"/>
      <c r="J21" s="3"/>
      <c r="K21" s="3"/>
      <c r="L21" s="3"/>
      <c r="M21" s="3"/>
    </row>
    <row r="22" ht="15.75" customHeight="1">
      <c r="A22" s="3"/>
      <c r="B22" s="3"/>
      <c r="C22" s="3"/>
      <c r="D22" s="3"/>
      <c r="E22" s="3"/>
      <c r="F22" s="3"/>
      <c r="G22" s="3"/>
      <c r="H22" s="3"/>
      <c r="I22" s="3"/>
      <c r="J22" s="3"/>
      <c r="K22" s="3"/>
      <c r="L22" s="3"/>
      <c r="M22" s="3"/>
    </row>
    <row r="23" ht="15.75" customHeight="1">
      <c r="A23" s="3"/>
      <c r="B23" s="3"/>
      <c r="C23" s="3"/>
      <c r="D23" s="3"/>
      <c r="E23" s="3"/>
      <c r="F23" s="3"/>
      <c r="G23" s="3"/>
      <c r="H23" s="3"/>
      <c r="I23" s="3"/>
      <c r="J23" s="3"/>
      <c r="K23" s="3"/>
      <c r="L23" s="3"/>
      <c r="M23" s="3"/>
    </row>
    <row r="24" ht="15.75" customHeight="1">
      <c r="A24" s="3"/>
      <c r="B24" s="3"/>
      <c r="C24" s="3"/>
      <c r="D24" s="3"/>
      <c r="E24" s="3"/>
      <c r="F24" s="3"/>
      <c r="G24" s="3"/>
      <c r="H24" s="3"/>
      <c r="I24" s="3"/>
      <c r="J24" s="3"/>
      <c r="K24" s="3"/>
      <c r="L24" s="3"/>
      <c r="M24" s="3"/>
    </row>
    <row r="25" ht="15.75" customHeight="1">
      <c r="A25" s="3"/>
      <c r="B25" s="3"/>
      <c r="C25" s="3"/>
      <c r="D25" s="3"/>
      <c r="E25" s="3"/>
      <c r="F25" s="3"/>
      <c r="G25" s="3"/>
      <c r="H25" s="3"/>
      <c r="I25" s="3"/>
      <c r="J25" s="3"/>
      <c r="K25" s="3"/>
      <c r="L25" s="3"/>
      <c r="M25" s="3"/>
    </row>
    <row r="26" ht="15.75" customHeight="1">
      <c r="A26" s="3"/>
      <c r="B26" s="3"/>
      <c r="C26" s="3"/>
      <c r="D26" s="3"/>
      <c r="E26" s="3"/>
      <c r="F26" s="3"/>
      <c r="G26" s="3"/>
      <c r="H26" s="3"/>
      <c r="I26" s="3"/>
      <c r="J26" s="3"/>
      <c r="K26" s="3"/>
      <c r="L26" s="3"/>
      <c r="M26" s="3"/>
    </row>
    <row r="27" ht="15.75" customHeight="1">
      <c r="A27" s="3"/>
      <c r="B27" s="3"/>
      <c r="C27" s="3"/>
      <c r="D27" s="3"/>
      <c r="E27" s="3"/>
      <c r="F27" s="3"/>
      <c r="G27" s="3"/>
      <c r="H27" s="3"/>
      <c r="I27" s="3"/>
      <c r="J27" s="3"/>
      <c r="K27" s="3"/>
      <c r="L27" s="3"/>
      <c r="M27" s="3"/>
    </row>
    <row r="28" ht="15.75" customHeight="1">
      <c r="A28" s="3"/>
      <c r="B28" s="3"/>
      <c r="C28" s="3"/>
      <c r="D28" s="3"/>
      <c r="E28" s="3"/>
      <c r="F28" s="3"/>
      <c r="G28" s="3"/>
      <c r="H28" s="3"/>
      <c r="I28" s="3"/>
      <c r="J28" s="3"/>
      <c r="K28" s="3"/>
      <c r="L28" s="3"/>
      <c r="M28" s="3"/>
    </row>
    <row r="29" ht="15.75" customHeight="1">
      <c r="A29" s="3"/>
      <c r="B29" s="3"/>
      <c r="C29" s="3"/>
      <c r="D29" s="3"/>
      <c r="E29" s="3"/>
      <c r="F29" s="3"/>
      <c r="G29" s="3"/>
      <c r="H29" s="3"/>
      <c r="I29" s="3"/>
      <c r="J29" s="3"/>
      <c r="K29" s="3"/>
      <c r="L29" s="3"/>
      <c r="M29" s="3"/>
    </row>
    <row r="30" ht="15.75" customHeight="1">
      <c r="A30" s="3"/>
      <c r="B30" s="3"/>
      <c r="C30" s="3"/>
      <c r="D30" s="3"/>
      <c r="E30" s="3"/>
      <c r="F30" s="3"/>
      <c r="G30" s="3"/>
      <c r="H30" s="3"/>
      <c r="I30" s="3"/>
      <c r="J30" s="3"/>
      <c r="K30" s="3"/>
      <c r="L30" s="3"/>
      <c r="M30" s="3"/>
    </row>
    <row r="31" ht="15.75" customHeight="1">
      <c r="A31" s="3"/>
      <c r="B31" s="3"/>
      <c r="C31" s="3"/>
      <c r="D31" s="3"/>
      <c r="E31" s="3"/>
      <c r="F31" s="3"/>
      <c r="G31" s="3"/>
      <c r="H31" s="3"/>
      <c r="I31" s="3"/>
      <c r="J31" s="3"/>
      <c r="K31" s="3"/>
      <c r="L31" s="3"/>
      <c r="M31" s="3"/>
    </row>
    <row r="32" ht="15.75" customHeight="1">
      <c r="A32" s="3"/>
      <c r="B32" s="3"/>
      <c r="C32" s="3"/>
      <c r="D32" s="3"/>
      <c r="E32" s="3"/>
      <c r="F32" s="3"/>
      <c r="G32" s="3"/>
      <c r="H32" s="3"/>
      <c r="I32" s="3"/>
      <c r="J32" s="3"/>
      <c r="K32" s="3"/>
      <c r="L32" s="3"/>
      <c r="M32" s="3"/>
    </row>
    <row r="33" ht="15.75" customHeight="1">
      <c r="A33" s="3"/>
      <c r="B33" s="3"/>
      <c r="C33" s="3"/>
      <c r="D33" s="3"/>
      <c r="E33" s="3"/>
      <c r="F33" s="3"/>
      <c r="G33" s="3"/>
      <c r="H33" s="3"/>
      <c r="I33" s="3"/>
      <c r="J33" s="3"/>
      <c r="K33" s="3"/>
      <c r="L33" s="3"/>
      <c r="M33" s="3"/>
    </row>
    <row r="34" ht="15.75" customHeight="1">
      <c r="A34" s="3"/>
      <c r="B34" s="3"/>
      <c r="C34" s="3"/>
      <c r="D34" s="3"/>
      <c r="E34" s="3"/>
      <c r="F34" s="3"/>
      <c r="G34" s="3"/>
      <c r="H34" s="3"/>
      <c r="I34" s="3"/>
      <c r="J34" s="3"/>
      <c r="K34" s="3"/>
      <c r="L34" s="3"/>
      <c r="M34" s="3"/>
    </row>
    <row r="35" ht="15.75" customHeight="1">
      <c r="A35" s="3"/>
      <c r="B35" s="3"/>
      <c r="C35" s="3"/>
      <c r="D35" s="3"/>
      <c r="E35" s="3"/>
      <c r="F35" s="3"/>
      <c r="G35" s="3"/>
      <c r="H35" s="3"/>
      <c r="I35" s="3"/>
      <c r="J35" s="3"/>
      <c r="K35" s="3"/>
      <c r="L35" s="3"/>
      <c r="M35" s="3"/>
    </row>
    <row r="36" ht="15.75" customHeight="1">
      <c r="A36" s="3"/>
      <c r="B36" s="3"/>
      <c r="C36" s="3"/>
      <c r="D36" s="3"/>
      <c r="E36" s="3"/>
      <c r="F36" s="3"/>
      <c r="G36" s="3"/>
      <c r="H36" s="3"/>
      <c r="I36" s="3"/>
      <c r="J36" s="3"/>
      <c r="K36" s="3"/>
      <c r="L36" s="3"/>
      <c r="M36" s="3"/>
    </row>
    <row r="37" ht="15.75" customHeight="1">
      <c r="A37" s="3"/>
      <c r="B37" s="3"/>
      <c r="C37" s="3"/>
      <c r="D37" s="3"/>
      <c r="E37" s="3"/>
      <c r="F37" s="3"/>
      <c r="G37" s="3"/>
      <c r="H37" s="3"/>
      <c r="I37" s="3"/>
      <c r="J37" s="3"/>
      <c r="K37" s="3"/>
      <c r="L37" s="3"/>
      <c r="M37" s="3"/>
    </row>
    <row r="38" ht="15.75" customHeight="1">
      <c r="A38" s="3"/>
      <c r="B38" s="3"/>
      <c r="C38" s="3"/>
      <c r="D38" s="3"/>
      <c r="E38" s="3"/>
      <c r="F38" s="3"/>
      <c r="G38" s="3"/>
      <c r="H38" s="3"/>
      <c r="I38" s="3"/>
      <c r="J38" s="3"/>
      <c r="K38" s="3"/>
      <c r="L38" s="3"/>
      <c r="M38" s="3"/>
    </row>
    <row r="39" ht="15.75" customHeight="1">
      <c r="A39" s="3"/>
      <c r="B39" s="3"/>
      <c r="C39" s="3"/>
      <c r="D39" s="3"/>
      <c r="E39" s="3"/>
      <c r="F39" s="3"/>
      <c r="G39" s="3"/>
      <c r="H39" s="3"/>
      <c r="I39" s="3"/>
      <c r="J39" s="3"/>
      <c r="K39" s="3"/>
      <c r="L39" s="3"/>
      <c r="M39" s="3"/>
    </row>
    <row r="40" ht="15.75" customHeight="1">
      <c r="A40" s="3"/>
      <c r="B40" s="3"/>
      <c r="C40" s="3"/>
      <c r="D40" s="3"/>
      <c r="E40" s="3"/>
      <c r="F40" s="3"/>
      <c r="G40" s="3"/>
      <c r="H40" s="3"/>
      <c r="I40" s="3"/>
      <c r="J40" s="3"/>
      <c r="K40" s="3"/>
      <c r="L40" s="3"/>
      <c r="M40" s="3"/>
    </row>
    <row r="41" ht="15.75" customHeight="1">
      <c r="A41" s="3"/>
      <c r="B41" s="3"/>
      <c r="C41" s="3"/>
      <c r="D41" s="3"/>
      <c r="E41" s="3"/>
      <c r="F41" s="3"/>
      <c r="G41" s="3"/>
      <c r="H41" s="3"/>
      <c r="I41" s="3"/>
      <c r="J41" s="3"/>
      <c r="K41" s="3"/>
      <c r="L41" s="3"/>
      <c r="M41" s="3"/>
    </row>
    <row r="42" ht="15.75" customHeight="1">
      <c r="A42" s="3"/>
      <c r="B42" s="3"/>
      <c r="C42" s="3"/>
      <c r="D42" s="3"/>
      <c r="E42" s="3"/>
      <c r="F42" s="3"/>
      <c r="G42" s="3"/>
      <c r="H42" s="3"/>
      <c r="I42" s="3"/>
      <c r="J42" s="3"/>
      <c r="K42" s="3"/>
      <c r="L42" s="3"/>
      <c r="M42" s="3"/>
    </row>
    <row r="43" ht="15.75" customHeight="1">
      <c r="A43" s="3"/>
      <c r="B43" s="3"/>
      <c r="C43" s="3"/>
      <c r="D43" s="3"/>
      <c r="E43" s="3"/>
      <c r="F43" s="3"/>
      <c r="G43" s="3"/>
      <c r="H43" s="3"/>
      <c r="I43" s="3"/>
      <c r="J43" s="3"/>
      <c r="K43" s="3"/>
      <c r="L43" s="3"/>
      <c r="M43" s="3"/>
    </row>
    <row r="44" ht="15.75" customHeight="1">
      <c r="A44" s="3"/>
      <c r="B44" s="3"/>
      <c r="C44" s="3"/>
      <c r="D44" s="3"/>
      <c r="E44" s="3"/>
      <c r="F44" s="3"/>
      <c r="G44" s="3"/>
      <c r="H44" s="3"/>
      <c r="I44" s="3"/>
      <c r="J44" s="3"/>
      <c r="K44" s="3"/>
      <c r="L44" s="3"/>
      <c r="M44" s="3"/>
    </row>
    <row r="45" ht="15.75" customHeight="1">
      <c r="A45" s="3"/>
      <c r="B45" s="3"/>
      <c r="C45" s="3"/>
      <c r="D45" s="3"/>
      <c r="E45" s="3"/>
      <c r="F45" s="3"/>
      <c r="G45" s="3"/>
      <c r="H45" s="3"/>
      <c r="I45" s="3"/>
      <c r="J45" s="3"/>
      <c r="K45" s="3"/>
      <c r="L45" s="3"/>
      <c r="M45" s="3"/>
    </row>
    <row r="46" ht="15.75" customHeight="1">
      <c r="A46" s="3"/>
      <c r="B46" s="3"/>
      <c r="C46" s="3"/>
      <c r="D46" s="3"/>
      <c r="E46" s="3"/>
      <c r="F46" s="3"/>
      <c r="G46" s="3"/>
      <c r="H46" s="3"/>
      <c r="I46" s="3"/>
      <c r="J46" s="3"/>
      <c r="K46" s="3"/>
      <c r="L46" s="3"/>
      <c r="M46" s="3"/>
    </row>
    <row r="47" ht="15.75" customHeight="1">
      <c r="A47" s="3"/>
      <c r="B47" s="3"/>
      <c r="C47" s="3"/>
      <c r="D47" s="3"/>
      <c r="E47" s="3"/>
      <c r="F47" s="3"/>
      <c r="G47" s="3"/>
      <c r="H47" s="3"/>
      <c r="I47" s="3"/>
      <c r="J47" s="3"/>
      <c r="K47" s="3"/>
      <c r="L47" s="3"/>
      <c r="M47" s="3"/>
    </row>
    <row r="48" ht="15.75" customHeight="1">
      <c r="A48" s="3"/>
      <c r="B48" s="3"/>
      <c r="C48" s="3"/>
      <c r="D48" s="3"/>
      <c r="E48" s="3"/>
      <c r="F48" s="3"/>
      <c r="G48" s="3"/>
      <c r="H48" s="3"/>
      <c r="I48" s="3"/>
      <c r="J48" s="3"/>
      <c r="K48" s="3"/>
      <c r="L48" s="3"/>
      <c r="M48" s="3"/>
    </row>
    <row r="49" ht="15.75" customHeight="1">
      <c r="A49" s="3"/>
      <c r="B49" s="3"/>
      <c r="C49" s="3"/>
      <c r="D49" s="3"/>
      <c r="E49" s="3"/>
      <c r="F49" s="3"/>
      <c r="G49" s="3"/>
      <c r="H49" s="3"/>
      <c r="I49" s="3"/>
      <c r="J49" s="3"/>
      <c r="K49" s="3"/>
      <c r="L49" s="3"/>
      <c r="M49" s="3"/>
    </row>
    <row r="50" ht="15.75" customHeight="1">
      <c r="A50" s="3"/>
      <c r="B50" s="3"/>
      <c r="C50" s="3"/>
      <c r="D50" s="3"/>
      <c r="E50" s="3"/>
      <c r="F50" s="3"/>
      <c r="G50" s="3"/>
      <c r="H50" s="3"/>
      <c r="I50" s="3"/>
      <c r="J50" s="3"/>
      <c r="K50" s="3"/>
      <c r="L50" s="3"/>
      <c r="M50" s="3"/>
    </row>
    <row r="51" ht="15.75" customHeight="1">
      <c r="A51" s="3"/>
      <c r="B51" s="3"/>
      <c r="C51" s="3"/>
      <c r="D51" s="3"/>
      <c r="E51" s="3"/>
      <c r="F51" s="3"/>
      <c r="G51" s="3"/>
      <c r="H51" s="3"/>
      <c r="I51" s="3"/>
      <c r="J51" s="3"/>
      <c r="K51" s="3"/>
      <c r="L51" s="3"/>
      <c r="M51" s="3"/>
    </row>
    <row r="52" ht="15.75" customHeight="1">
      <c r="A52" s="3"/>
      <c r="B52" s="3"/>
      <c r="C52" s="3"/>
      <c r="D52" s="3"/>
      <c r="E52" s="3"/>
      <c r="F52" s="3"/>
      <c r="G52" s="3"/>
      <c r="H52" s="3"/>
      <c r="I52" s="3"/>
      <c r="J52" s="3"/>
      <c r="K52" s="3"/>
      <c r="L52" s="3"/>
      <c r="M52" s="3"/>
    </row>
    <row r="53" ht="15.75" customHeight="1">
      <c r="A53" s="3"/>
      <c r="B53" s="3"/>
      <c r="C53" s="3"/>
      <c r="D53" s="3"/>
      <c r="E53" s="3"/>
      <c r="F53" s="3"/>
      <c r="G53" s="3"/>
      <c r="H53" s="3"/>
      <c r="I53" s="3"/>
      <c r="J53" s="3"/>
      <c r="K53" s="3"/>
      <c r="L53" s="3"/>
      <c r="M53" s="3"/>
    </row>
    <row r="54" ht="15.75" customHeight="1">
      <c r="A54" s="3"/>
      <c r="B54" s="3"/>
      <c r="C54" s="3"/>
      <c r="D54" s="3"/>
      <c r="E54" s="3"/>
      <c r="F54" s="3"/>
      <c r="G54" s="3"/>
      <c r="H54" s="3"/>
      <c r="I54" s="3"/>
      <c r="J54" s="3"/>
      <c r="K54" s="3"/>
      <c r="L54" s="3"/>
      <c r="M54" s="3"/>
    </row>
    <row r="55" ht="15.75" customHeight="1">
      <c r="A55" s="3"/>
      <c r="B55" s="3"/>
      <c r="C55" s="3"/>
      <c r="D55" s="3"/>
      <c r="E55" s="3"/>
      <c r="F55" s="3"/>
      <c r="G55" s="3"/>
      <c r="H55" s="3"/>
      <c r="I55" s="3"/>
      <c r="J55" s="3"/>
      <c r="K55" s="3"/>
      <c r="L55" s="3"/>
      <c r="M55" s="3"/>
    </row>
    <row r="56" ht="15.75" customHeight="1">
      <c r="A56" s="3"/>
      <c r="B56" s="3"/>
      <c r="C56" s="3"/>
      <c r="D56" s="3"/>
      <c r="E56" s="3"/>
      <c r="F56" s="3"/>
      <c r="G56" s="3"/>
      <c r="H56" s="3"/>
      <c r="I56" s="3"/>
      <c r="J56" s="3"/>
      <c r="K56" s="3"/>
      <c r="L56" s="3"/>
      <c r="M56" s="3"/>
    </row>
    <row r="57" ht="15.75" customHeight="1">
      <c r="A57" s="3"/>
      <c r="B57" s="3"/>
      <c r="C57" s="3"/>
      <c r="D57" s="3"/>
      <c r="E57" s="3"/>
      <c r="F57" s="3"/>
      <c r="G57" s="3"/>
      <c r="H57" s="3"/>
      <c r="I57" s="3"/>
      <c r="J57" s="3"/>
      <c r="K57" s="3"/>
      <c r="L57" s="3"/>
      <c r="M57" s="3"/>
    </row>
    <row r="58" ht="15.75" customHeight="1">
      <c r="A58" s="3"/>
      <c r="B58" s="3"/>
      <c r="C58" s="3"/>
      <c r="D58" s="3"/>
      <c r="E58" s="3"/>
      <c r="F58" s="3"/>
      <c r="G58" s="3"/>
      <c r="H58" s="3"/>
      <c r="I58" s="3"/>
      <c r="J58" s="3"/>
      <c r="K58" s="3"/>
      <c r="L58" s="3"/>
      <c r="M58" s="3"/>
    </row>
    <row r="59" ht="15.75" customHeight="1">
      <c r="A59" s="3"/>
      <c r="B59" s="3"/>
      <c r="C59" s="3"/>
      <c r="D59" s="3"/>
      <c r="E59" s="3"/>
      <c r="F59" s="3"/>
      <c r="G59" s="3"/>
      <c r="H59" s="3"/>
      <c r="I59" s="3"/>
      <c r="J59" s="3"/>
      <c r="K59" s="3"/>
      <c r="L59" s="3"/>
      <c r="M59" s="3"/>
    </row>
    <row r="60" ht="15.75" customHeight="1">
      <c r="A60" s="3"/>
      <c r="B60" s="3"/>
      <c r="C60" s="3"/>
      <c r="D60" s="3"/>
      <c r="E60" s="3"/>
      <c r="F60" s="3"/>
      <c r="G60" s="3"/>
      <c r="H60" s="3"/>
      <c r="I60" s="3"/>
      <c r="J60" s="3"/>
      <c r="K60" s="3"/>
      <c r="L60" s="3"/>
      <c r="M60" s="3"/>
    </row>
    <row r="61" ht="15.75" customHeight="1">
      <c r="A61" s="3"/>
      <c r="B61" s="3"/>
      <c r="C61" s="3"/>
      <c r="D61" s="3"/>
      <c r="E61" s="3"/>
      <c r="F61" s="3"/>
      <c r="G61" s="3"/>
      <c r="H61" s="3"/>
      <c r="I61" s="3"/>
      <c r="J61" s="3"/>
      <c r="K61" s="3"/>
      <c r="L61" s="3"/>
      <c r="M61" s="3"/>
    </row>
    <row r="62" ht="15.75" customHeight="1">
      <c r="A62" s="3"/>
      <c r="B62" s="3"/>
      <c r="C62" s="3"/>
      <c r="D62" s="3"/>
      <c r="E62" s="3"/>
      <c r="F62" s="3"/>
      <c r="G62" s="3"/>
      <c r="H62" s="3"/>
      <c r="I62" s="3"/>
      <c r="J62" s="3"/>
      <c r="K62" s="3"/>
      <c r="L62" s="3"/>
      <c r="M62" s="3"/>
    </row>
    <row r="63" ht="15.75" customHeight="1">
      <c r="A63" s="3"/>
      <c r="B63" s="3"/>
      <c r="C63" s="3"/>
      <c r="D63" s="3"/>
      <c r="E63" s="3"/>
      <c r="F63" s="3"/>
      <c r="G63" s="3"/>
      <c r="H63" s="3"/>
      <c r="I63" s="3"/>
      <c r="J63" s="3"/>
      <c r="K63" s="3"/>
      <c r="L63" s="3"/>
      <c r="M63" s="3"/>
    </row>
    <row r="64" ht="15.75" customHeight="1">
      <c r="A64" s="3"/>
      <c r="B64" s="3"/>
      <c r="C64" s="3"/>
      <c r="D64" s="3"/>
      <c r="E64" s="3"/>
      <c r="F64" s="3"/>
      <c r="G64" s="3"/>
      <c r="H64" s="3"/>
      <c r="I64" s="3"/>
      <c r="J64" s="3"/>
      <c r="K64" s="3"/>
      <c r="L64" s="3"/>
      <c r="M64" s="3"/>
    </row>
    <row r="65" ht="15.75" customHeight="1">
      <c r="A65" s="3"/>
      <c r="B65" s="3"/>
      <c r="C65" s="3"/>
      <c r="D65" s="3"/>
      <c r="E65" s="3"/>
      <c r="F65" s="3"/>
      <c r="G65" s="3"/>
      <c r="H65" s="3"/>
      <c r="I65" s="3"/>
      <c r="J65" s="3"/>
      <c r="K65" s="3"/>
      <c r="L65" s="3"/>
      <c r="M65" s="3"/>
    </row>
    <row r="66" ht="15.75" customHeight="1">
      <c r="A66" s="3"/>
      <c r="B66" s="3"/>
      <c r="C66" s="3"/>
      <c r="D66" s="3"/>
      <c r="E66" s="3"/>
      <c r="F66" s="3"/>
      <c r="G66" s="3"/>
      <c r="H66" s="3"/>
      <c r="I66" s="3"/>
      <c r="J66" s="3"/>
      <c r="K66" s="3"/>
      <c r="L66" s="3"/>
      <c r="M66" s="3"/>
    </row>
    <row r="67" ht="15.75" customHeight="1">
      <c r="A67" s="3"/>
      <c r="B67" s="3"/>
      <c r="C67" s="3"/>
      <c r="D67" s="3"/>
      <c r="E67" s="3"/>
      <c r="F67" s="3"/>
      <c r="G67" s="3"/>
      <c r="H67" s="3"/>
      <c r="I67" s="3"/>
      <c r="J67" s="3"/>
      <c r="K67" s="3"/>
      <c r="L67" s="3"/>
      <c r="M67" s="3"/>
    </row>
    <row r="68" ht="15.75" customHeight="1">
      <c r="A68" s="3"/>
      <c r="B68" s="3"/>
      <c r="C68" s="3"/>
      <c r="D68" s="3"/>
      <c r="E68" s="3"/>
      <c r="F68" s="3"/>
      <c r="G68" s="3"/>
      <c r="H68" s="3"/>
      <c r="I68" s="3"/>
      <c r="J68" s="3"/>
      <c r="K68" s="3"/>
      <c r="L68" s="3"/>
      <c r="M68" s="3"/>
    </row>
    <row r="69" ht="15.75" customHeight="1">
      <c r="A69" s="3"/>
      <c r="B69" s="3"/>
      <c r="C69" s="3"/>
      <c r="D69" s="3"/>
      <c r="E69" s="3"/>
      <c r="F69" s="3"/>
      <c r="G69" s="3"/>
      <c r="H69" s="3"/>
      <c r="I69" s="3"/>
      <c r="J69" s="3"/>
      <c r="K69" s="3"/>
      <c r="L69" s="3"/>
      <c r="M69" s="3"/>
    </row>
    <row r="70" ht="15.75" customHeight="1">
      <c r="A70" s="3"/>
      <c r="B70" s="3"/>
      <c r="C70" s="3"/>
      <c r="D70" s="3"/>
      <c r="E70" s="3"/>
      <c r="F70" s="3"/>
      <c r="G70" s="3"/>
      <c r="H70" s="3"/>
      <c r="I70" s="3"/>
      <c r="J70" s="3"/>
      <c r="K70" s="3"/>
      <c r="L70" s="3"/>
      <c r="M70" s="3"/>
    </row>
    <row r="71" ht="15.75" customHeight="1">
      <c r="A71" s="3"/>
      <c r="B71" s="3"/>
      <c r="C71" s="3"/>
      <c r="D71" s="3"/>
      <c r="E71" s="3"/>
      <c r="F71" s="3"/>
      <c r="G71" s="3"/>
      <c r="H71" s="3"/>
      <c r="I71" s="3"/>
      <c r="J71" s="3"/>
      <c r="K71" s="3"/>
      <c r="L71" s="3"/>
      <c r="M71" s="3"/>
    </row>
    <row r="72" ht="15.75" customHeight="1">
      <c r="A72" s="3"/>
      <c r="B72" s="3"/>
      <c r="C72" s="3"/>
      <c r="D72" s="3"/>
      <c r="E72" s="3"/>
      <c r="F72" s="3"/>
      <c r="G72" s="3"/>
      <c r="H72" s="3"/>
      <c r="I72" s="3"/>
      <c r="J72" s="3"/>
      <c r="K72" s="3"/>
      <c r="L72" s="3"/>
      <c r="M72" s="3"/>
    </row>
    <row r="73" ht="15.75" customHeight="1">
      <c r="A73" s="3"/>
      <c r="B73" s="3"/>
      <c r="C73" s="3"/>
      <c r="D73" s="3"/>
      <c r="E73" s="3"/>
      <c r="F73" s="3"/>
      <c r="G73" s="3"/>
      <c r="H73" s="3"/>
      <c r="I73" s="3"/>
      <c r="J73" s="3"/>
      <c r="K73" s="3"/>
      <c r="L73" s="3"/>
      <c r="M73" s="3"/>
    </row>
    <row r="74" ht="15.75" customHeight="1">
      <c r="A74" s="3"/>
      <c r="B74" s="3"/>
      <c r="C74" s="3"/>
      <c r="D74" s="3"/>
      <c r="E74" s="3"/>
      <c r="F74" s="3"/>
      <c r="G74" s="3"/>
      <c r="H74" s="3"/>
      <c r="I74" s="3"/>
      <c r="J74" s="3"/>
      <c r="K74" s="3"/>
      <c r="L74" s="3"/>
      <c r="M74" s="3"/>
    </row>
    <row r="75" ht="15.75" customHeight="1">
      <c r="A75" s="3"/>
      <c r="B75" s="3"/>
      <c r="C75" s="3"/>
      <c r="D75" s="3"/>
      <c r="E75" s="3"/>
      <c r="F75" s="3"/>
      <c r="G75" s="3"/>
      <c r="H75" s="3"/>
      <c r="I75" s="3"/>
      <c r="J75" s="3"/>
      <c r="K75" s="3"/>
      <c r="L75" s="3"/>
      <c r="M75" s="3"/>
    </row>
    <row r="76" ht="15.75" customHeight="1">
      <c r="A76" s="3"/>
      <c r="B76" s="3"/>
      <c r="C76" s="3"/>
      <c r="D76" s="3"/>
      <c r="E76" s="3"/>
      <c r="F76" s="3"/>
      <c r="G76" s="3"/>
      <c r="H76" s="3"/>
      <c r="I76" s="3"/>
      <c r="J76" s="3"/>
      <c r="K76" s="3"/>
      <c r="L76" s="3"/>
      <c r="M76" s="3"/>
    </row>
    <row r="77" ht="15.75" customHeight="1">
      <c r="A77" s="3"/>
      <c r="B77" s="3"/>
      <c r="C77" s="3"/>
      <c r="D77" s="3"/>
      <c r="E77" s="3"/>
      <c r="F77" s="3"/>
      <c r="G77" s="3"/>
      <c r="H77" s="3"/>
      <c r="I77" s="3"/>
      <c r="J77" s="3"/>
      <c r="K77" s="3"/>
      <c r="L77" s="3"/>
      <c r="M77" s="3"/>
    </row>
    <row r="78" ht="15.75" customHeight="1">
      <c r="A78" s="3"/>
      <c r="B78" s="3"/>
      <c r="C78" s="3"/>
      <c r="D78" s="3"/>
      <c r="E78" s="3"/>
      <c r="F78" s="3"/>
      <c r="G78" s="3"/>
      <c r="H78" s="3"/>
      <c r="I78" s="3"/>
      <c r="J78" s="3"/>
      <c r="K78" s="3"/>
      <c r="L78" s="3"/>
      <c r="M78" s="3"/>
    </row>
    <row r="79" ht="15.75" customHeight="1">
      <c r="A79" s="3"/>
      <c r="B79" s="3"/>
      <c r="C79" s="3"/>
      <c r="D79" s="3"/>
      <c r="E79" s="3"/>
      <c r="F79" s="3"/>
      <c r="G79" s="3"/>
      <c r="H79" s="3"/>
      <c r="I79" s="3"/>
      <c r="J79" s="3"/>
      <c r="K79" s="3"/>
      <c r="L79" s="3"/>
      <c r="M79" s="3"/>
    </row>
    <row r="80" ht="15.75" customHeight="1">
      <c r="A80" s="3"/>
      <c r="B80" s="3"/>
      <c r="C80" s="3"/>
      <c r="D80" s="3"/>
      <c r="E80" s="3"/>
      <c r="F80" s="3"/>
      <c r="G80" s="3"/>
      <c r="H80" s="3"/>
      <c r="I80" s="3"/>
      <c r="J80" s="3"/>
      <c r="K80" s="3"/>
      <c r="L80" s="3"/>
      <c r="M80" s="3"/>
    </row>
    <row r="81" ht="15.75" customHeight="1">
      <c r="A81" s="3"/>
      <c r="B81" s="3"/>
      <c r="C81" s="3"/>
      <c r="D81" s="3"/>
      <c r="E81" s="3"/>
      <c r="F81" s="3"/>
      <c r="G81" s="3"/>
      <c r="H81" s="3"/>
      <c r="I81" s="3"/>
      <c r="J81" s="3"/>
      <c r="K81" s="3"/>
      <c r="L81" s="3"/>
      <c r="M81" s="3"/>
    </row>
    <row r="82" ht="15.75" customHeight="1">
      <c r="A82" s="3"/>
      <c r="B82" s="3"/>
      <c r="C82" s="3"/>
      <c r="D82" s="3"/>
      <c r="E82" s="3"/>
      <c r="F82" s="3"/>
      <c r="G82" s="3"/>
      <c r="H82" s="3"/>
      <c r="I82" s="3"/>
      <c r="J82" s="3"/>
      <c r="K82" s="3"/>
      <c r="L82" s="3"/>
      <c r="M82" s="3"/>
    </row>
    <row r="83" ht="15.75" customHeight="1">
      <c r="A83" s="3"/>
      <c r="B83" s="3"/>
      <c r="C83" s="3"/>
      <c r="D83" s="3"/>
      <c r="E83" s="3"/>
      <c r="F83" s="3"/>
      <c r="G83" s="3"/>
      <c r="H83" s="3"/>
      <c r="I83" s="3"/>
      <c r="J83" s="3"/>
      <c r="K83" s="3"/>
      <c r="L83" s="3"/>
      <c r="M83" s="3"/>
    </row>
    <row r="84" ht="15.75" customHeight="1">
      <c r="A84" s="3"/>
      <c r="B84" s="3"/>
      <c r="C84" s="3"/>
      <c r="D84" s="3"/>
      <c r="E84" s="3"/>
      <c r="F84" s="3"/>
      <c r="G84" s="3"/>
      <c r="H84" s="3"/>
      <c r="I84" s="3"/>
      <c r="J84" s="3"/>
      <c r="K84" s="3"/>
      <c r="L84" s="3"/>
      <c r="M84" s="3"/>
    </row>
    <row r="85" ht="15.75" customHeight="1">
      <c r="A85" s="3"/>
      <c r="B85" s="3"/>
      <c r="C85" s="3"/>
      <c r="D85" s="3"/>
      <c r="E85" s="3"/>
      <c r="F85" s="3"/>
      <c r="G85" s="3"/>
      <c r="H85" s="3"/>
      <c r="I85" s="3"/>
      <c r="J85" s="3"/>
      <c r="K85" s="3"/>
      <c r="L85" s="3"/>
      <c r="M85" s="3"/>
    </row>
    <row r="86" ht="15.75" customHeight="1">
      <c r="A86" s="3"/>
      <c r="B86" s="3"/>
      <c r="C86" s="3"/>
      <c r="D86" s="3"/>
      <c r="E86" s="3"/>
      <c r="F86" s="3"/>
      <c r="G86" s="3"/>
      <c r="H86" s="3"/>
      <c r="I86" s="3"/>
      <c r="J86" s="3"/>
      <c r="K86" s="3"/>
      <c r="L86" s="3"/>
      <c r="M86" s="3"/>
    </row>
    <row r="87" ht="15.75" customHeight="1">
      <c r="A87" s="3"/>
      <c r="B87" s="3"/>
      <c r="C87" s="3"/>
      <c r="D87" s="3"/>
      <c r="E87" s="3"/>
      <c r="F87" s="3"/>
      <c r="G87" s="3"/>
      <c r="H87" s="3"/>
      <c r="I87" s="3"/>
      <c r="J87" s="3"/>
      <c r="K87" s="3"/>
      <c r="L87" s="3"/>
      <c r="M87" s="3"/>
    </row>
    <row r="88" ht="15.75" customHeight="1">
      <c r="A88" s="3"/>
      <c r="B88" s="3"/>
      <c r="C88" s="3"/>
      <c r="D88" s="3"/>
      <c r="E88" s="3"/>
      <c r="F88" s="3"/>
      <c r="G88" s="3"/>
      <c r="H88" s="3"/>
      <c r="I88" s="3"/>
      <c r="J88" s="3"/>
      <c r="K88" s="3"/>
      <c r="L88" s="3"/>
      <c r="M88" s="3"/>
    </row>
    <row r="89" ht="15.75" customHeight="1">
      <c r="A89" s="3"/>
      <c r="B89" s="3"/>
      <c r="C89" s="3"/>
      <c r="D89" s="3"/>
      <c r="E89" s="3"/>
      <c r="F89" s="3"/>
      <c r="G89" s="3"/>
      <c r="H89" s="3"/>
      <c r="I89" s="3"/>
      <c r="J89" s="3"/>
      <c r="K89" s="3"/>
      <c r="L89" s="3"/>
      <c r="M89" s="3"/>
    </row>
    <row r="90" ht="15.75" customHeight="1">
      <c r="A90" s="3"/>
      <c r="B90" s="3"/>
      <c r="C90" s="3"/>
      <c r="D90" s="3"/>
      <c r="E90" s="3"/>
      <c r="F90" s="3"/>
      <c r="G90" s="3"/>
      <c r="H90" s="3"/>
      <c r="I90" s="3"/>
      <c r="J90" s="3"/>
      <c r="K90" s="3"/>
      <c r="L90" s="3"/>
      <c r="M90" s="3"/>
    </row>
    <row r="91" ht="15.75" customHeight="1">
      <c r="A91" s="3"/>
      <c r="B91" s="3"/>
      <c r="C91" s="3"/>
      <c r="D91" s="3"/>
      <c r="E91" s="3"/>
      <c r="F91" s="3"/>
      <c r="G91" s="3"/>
      <c r="H91" s="3"/>
      <c r="I91" s="3"/>
      <c r="J91" s="3"/>
      <c r="K91" s="3"/>
      <c r="L91" s="3"/>
      <c r="M91" s="3"/>
    </row>
    <row r="92" ht="15.75" customHeight="1">
      <c r="A92" s="3"/>
      <c r="B92" s="3"/>
      <c r="C92" s="3"/>
      <c r="D92" s="3"/>
      <c r="E92" s="3"/>
      <c r="F92" s="3"/>
      <c r="G92" s="3"/>
      <c r="H92" s="3"/>
      <c r="I92" s="3"/>
      <c r="J92" s="3"/>
      <c r="K92" s="3"/>
      <c r="L92" s="3"/>
      <c r="M92" s="3"/>
    </row>
    <row r="93" ht="15.75" customHeight="1">
      <c r="A93" s="3"/>
      <c r="B93" s="3"/>
      <c r="C93" s="3"/>
      <c r="D93" s="3"/>
      <c r="E93" s="3"/>
      <c r="F93" s="3"/>
      <c r="G93" s="3"/>
      <c r="H93" s="3"/>
      <c r="I93" s="3"/>
      <c r="J93" s="3"/>
      <c r="K93" s="3"/>
      <c r="L93" s="3"/>
      <c r="M93" s="3"/>
    </row>
    <row r="94" ht="15.75" customHeight="1">
      <c r="A94" s="3"/>
      <c r="B94" s="3"/>
      <c r="C94" s="3"/>
      <c r="D94" s="3"/>
      <c r="E94" s="3"/>
      <c r="F94" s="3"/>
      <c r="G94" s="3"/>
      <c r="H94" s="3"/>
      <c r="I94" s="3"/>
      <c r="J94" s="3"/>
      <c r="K94" s="3"/>
      <c r="L94" s="3"/>
      <c r="M94" s="3"/>
    </row>
    <row r="95" ht="15.75" customHeight="1">
      <c r="A95" s="3"/>
      <c r="B95" s="3"/>
      <c r="C95" s="3"/>
      <c r="D95" s="3"/>
      <c r="E95" s="3"/>
      <c r="F95" s="3"/>
      <c r="G95" s="3"/>
      <c r="H95" s="3"/>
      <c r="I95" s="3"/>
      <c r="J95" s="3"/>
      <c r="K95" s="3"/>
      <c r="L95" s="3"/>
      <c r="M95" s="3"/>
    </row>
    <row r="96" ht="15.75" customHeight="1">
      <c r="A96" s="3"/>
      <c r="B96" s="3"/>
      <c r="C96" s="3"/>
      <c r="D96" s="3"/>
      <c r="E96" s="3"/>
      <c r="F96" s="3"/>
      <c r="G96" s="3"/>
      <c r="H96" s="3"/>
      <c r="I96" s="3"/>
      <c r="J96" s="3"/>
      <c r="K96" s="3"/>
      <c r="L96" s="3"/>
      <c r="M96" s="3"/>
    </row>
    <row r="97" ht="15.75" customHeight="1">
      <c r="A97" s="3"/>
      <c r="B97" s="3"/>
      <c r="C97" s="3"/>
      <c r="D97" s="3"/>
      <c r="E97" s="3"/>
      <c r="F97" s="3"/>
      <c r="G97" s="3"/>
      <c r="H97" s="3"/>
      <c r="I97" s="3"/>
      <c r="J97" s="3"/>
      <c r="K97" s="3"/>
      <c r="L97" s="3"/>
      <c r="M97" s="3"/>
    </row>
    <row r="98" ht="15.75" customHeight="1">
      <c r="A98" s="3"/>
      <c r="B98" s="3"/>
      <c r="C98" s="3"/>
      <c r="D98" s="3"/>
      <c r="E98" s="3"/>
      <c r="F98" s="3"/>
      <c r="G98" s="3"/>
      <c r="H98" s="3"/>
      <c r="I98" s="3"/>
      <c r="J98" s="3"/>
      <c r="K98" s="3"/>
      <c r="L98" s="3"/>
      <c r="M98" s="3"/>
    </row>
    <row r="99" ht="15.75" customHeight="1">
      <c r="A99" s="3"/>
      <c r="B99" s="3"/>
      <c r="C99" s="3"/>
      <c r="D99" s="3"/>
      <c r="E99" s="3"/>
      <c r="F99" s="3"/>
      <c r="G99" s="3"/>
      <c r="H99" s="3"/>
      <c r="I99" s="3"/>
      <c r="J99" s="3"/>
      <c r="K99" s="3"/>
      <c r="L99" s="3"/>
      <c r="M99" s="3"/>
    </row>
    <row r="100" ht="15.75" customHeight="1">
      <c r="A100" s="3"/>
      <c r="B100" s="3"/>
      <c r="C100" s="3"/>
      <c r="D100" s="3"/>
      <c r="E100" s="3"/>
      <c r="F100" s="3"/>
      <c r="G100" s="3"/>
      <c r="H100" s="3"/>
      <c r="I100" s="3"/>
      <c r="J100" s="3"/>
      <c r="K100" s="3"/>
      <c r="L100" s="3"/>
      <c r="M100" s="3"/>
    </row>
    <row r="101" ht="15.75" customHeight="1">
      <c r="A101" s="3"/>
      <c r="B101" s="3"/>
      <c r="C101" s="3"/>
      <c r="D101" s="3"/>
      <c r="E101" s="3"/>
      <c r="F101" s="3"/>
      <c r="G101" s="3"/>
      <c r="H101" s="3"/>
      <c r="I101" s="3"/>
      <c r="J101" s="3"/>
      <c r="K101" s="3"/>
      <c r="L101" s="3"/>
      <c r="M101" s="3"/>
    </row>
    <row r="102" ht="15.75" customHeight="1">
      <c r="A102" s="3"/>
      <c r="B102" s="3"/>
      <c r="C102" s="3"/>
      <c r="D102" s="3"/>
      <c r="E102" s="3"/>
      <c r="F102" s="3"/>
      <c r="G102" s="3"/>
      <c r="H102" s="3"/>
      <c r="I102" s="3"/>
      <c r="J102" s="3"/>
      <c r="K102" s="3"/>
      <c r="L102" s="3"/>
      <c r="M102" s="3"/>
    </row>
    <row r="103" ht="15.75" customHeight="1">
      <c r="A103" s="3"/>
      <c r="B103" s="3"/>
      <c r="C103" s="3"/>
      <c r="D103" s="3"/>
      <c r="E103" s="3"/>
      <c r="F103" s="3"/>
      <c r="G103" s="3"/>
      <c r="H103" s="3"/>
      <c r="I103" s="3"/>
      <c r="J103" s="3"/>
      <c r="K103" s="3"/>
      <c r="L103" s="3"/>
      <c r="M103" s="3"/>
    </row>
    <row r="104" ht="15.75" customHeight="1">
      <c r="A104" s="3"/>
      <c r="B104" s="3"/>
      <c r="C104" s="3"/>
      <c r="D104" s="3"/>
      <c r="E104" s="3"/>
      <c r="F104" s="3"/>
      <c r="G104" s="3"/>
      <c r="H104" s="3"/>
      <c r="I104" s="3"/>
      <c r="J104" s="3"/>
      <c r="K104" s="3"/>
      <c r="L104" s="3"/>
      <c r="M104" s="3"/>
    </row>
    <row r="105" ht="15.75" customHeight="1">
      <c r="A105" s="3"/>
      <c r="B105" s="3"/>
      <c r="C105" s="3"/>
      <c r="D105" s="3"/>
      <c r="E105" s="3"/>
      <c r="F105" s="3"/>
      <c r="G105" s="3"/>
      <c r="H105" s="3"/>
      <c r="I105" s="3"/>
      <c r="J105" s="3"/>
      <c r="K105" s="3"/>
      <c r="L105" s="3"/>
      <c r="M105" s="3"/>
    </row>
    <row r="106" ht="15.75" customHeight="1">
      <c r="A106" s="3"/>
      <c r="B106" s="3"/>
      <c r="C106" s="3"/>
      <c r="D106" s="3"/>
      <c r="E106" s="3"/>
      <c r="F106" s="3"/>
      <c r="G106" s="3"/>
      <c r="H106" s="3"/>
      <c r="I106" s="3"/>
      <c r="J106" s="3"/>
      <c r="K106" s="3"/>
      <c r="L106" s="3"/>
      <c r="M106" s="3"/>
    </row>
    <row r="107" ht="15.75" customHeight="1">
      <c r="A107" s="3"/>
      <c r="B107" s="3"/>
      <c r="C107" s="3"/>
      <c r="D107" s="3"/>
      <c r="E107" s="3"/>
      <c r="F107" s="3"/>
      <c r="G107" s="3"/>
      <c r="H107" s="3"/>
      <c r="I107" s="3"/>
      <c r="J107" s="3"/>
      <c r="K107" s="3"/>
      <c r="L107" s="3"/>
      <c r="M107" s="3"/>
    </row>
    <row r="108" ht="15.75" customHeight="1">
      <c r="A108" s="3"/>
      <c r="B108" s="3"/>
      <c r="C108" s="3"/>
      <c r="D108" s="3"/>
      <c r="E108" s="3"/>
      <c r="F108" s="3"/>
      <c r="G108" s="3"/>
      <c r="H108" s="3"/>
      <c r="I108" s="3"/>
      <c r="J108" s="3"/>
      <c r="K108" s="3"/>
      <c r="L108" s="3"/>
      <c r="M108" s="3"/>
    </row>
    <row r="109" ht="15.75" customHeight="1">
      <c r="A109" s="3"/>
      <c r="B109" s="3"/>
      <c r="C109" s="3"/>
      <c r="D109" s="3"/>
      <c r="E109" s="3"/>
      <c r="F109" s="3"/>
      <c r="G109" s="3"/>
      <c r="H109" s="3"/>
      <c r="I109" s="3"/>
      <c r="J109" s="3"/>
      <c r="K109" s="3"/>
      <c r="L109" s="3"/>
      <c r="M109" s="3"/>
    </row>
    <row r="110" ht="15.75" customHeight="1">
      <c r="A110" s="3"/>
      <c r="B110" s="3"/>
      <c r="C110" s="3"/>
      <c r="D110" s="3"/>
      <c r="E110" s="3"/>
      <c r="F110" s="3"/>
      <c r="G110" s="3"/>
      <c r="H110" s="3"/>
      <c r="I110" s="3"/>
      <c r="J110" s="3"/>
      <c r="K110" s="3"/>
      <c r="L110" s="3"/>
      <c r="M110" s="3"/>
    </row>
    <row r="111" ht="15.75" customHeight="1">
      <c r="A111" s="3"/>
      <c r="B111" s="3"/>
      <c r="C111" s="3"/>
      <c r="D111" s="3"/>
      <c r="E111" s="3"/>
      <c r="F111" s="3"/>
      <c r="G111" s="3"/>
      <c r="H111" s="3"/>
      <c r="I111" s="3"/>
      <c r="J111" s="3"/>
      <c r="K111" s="3"/>
      <c r="L111" s="3"/>
      <c r="M111" s="3"/>
    </row>
    <row r="112" ht="15.75" customHeight="1">
      <c r="A112" s="3"/>
      <c r="B112" s="3"/>
      <c r="C112" s="3"/>
      <c r="D112" s="3"/>
      <c r="E112" s="3"/>
      <c r="F112" s="3"/>
      <c r="G112" s="3"/>
      <c r="H112" s="3"/>
      <c r="I112" s="3"/>
      <c r="J112" s="3"/>
      <c r="K112" s="3"/>
      <c r="L112" s="3"/>
      <c r="M112" s="3"/>
    </row>
    <row r="113" ht="15.75" customHeight="1">
      <c r="A113" s="3"/>
      <c r="B113" s="3"/>
      <c r="C113" s="3"/>
      <c r="D113" s="3"/>
      <c r="E113" s="3"/>
      <c r="F113" s="3"/>
      <c r="G113" s="3"/>
      <c r="H113" s="3"/>
      <c r="I113" s="3"/>
      <c r="J113" s="3"/>
      <c r="K113" s="3"/>
      <c r="L113" s="3"/>
      <c r="M113" s="3"/>
    </row>
    <row r="114" ht="15.75" customHeight="1">
      <c r="A114" s="3"/>
      <c r="B114" s="3"/>
      <c r="C114" s="3"/>
      <c r="D114" s="3"/>
      <c r="E114" s="3"/>
      <c r="F114" s="3"/>
      <c r="G114" s="3"/>
      <c r="H114" s="3"/>
      <c r="I114" s="3"/>
      <c r="J114" s="3"/>
      <c r="K114" s="3"/>
      <c r="L114" s="3"/>
      <c r="M114" s="3"/>
    </row>
    <row r="115" ht="15.75" customHeight="1">
      <c r="A115" s="3"/>
      <c r="B115" s="3"/>
      <c r="C115" s="3"/>
      <c r="D115" s="3"/>
      <c r="E115" s="3"/>
      <c r="F115" s="3"/>
      <c r="G115" s="3"/>
      <c r="H115" s="3"/>
      <c r="I115" s="3"/>
      <c r="J115" s="3"/>
      <c r="K115" s="3"/>
      <c r="L115" s="3"/>
      <c r="M115" s="3"/>
    </row>
    <row r="116" ht="15.75" customHeight="1">
      <c r="A116" s="3"/>
      <c r="B116" s="3"/>
      <c r="C116" s="3"/>
      <c r="D116" s="3"/>
      <c r="E116" s="3"/>
      <c r="F116" s="3"/>
      <c r="G116" s="3"/>
      <c r="H116" s="3"/>
      <c r="I116" s="3"/>
      <c r="J116" s="3"/>
      <c r="K116" s="3"/>
      <c r="L116" s="3"/>
      <c r="M116" s="3"/>
    </row>
    <row r="117" ht="15.75" customHeight="1">
      <c r="A117" s="3"/>
      <c r="B117" s="3"/>
      <c r="C117" s="3"/>
      <c r="D117" s="3"/>
      <c r="E117" s="3"/>
      <c r="F117" s="3"/>
      <c r="G117" s="3"/>
      <c r="H117" s="3"/>
      <c r="I117" s="3"/>
      <c r="J117" s="3"/>
      <c r="K117" s="3"/>
      <c r="L117" s="3"/>
      <c r="M117" s="3"/>
    </row>
    <row r="118" ht="15.75" customHeight="1">
      <c r="A118" s="3"/>
      <c r="B118" s="3"/>
      <c r="C118" s="3"/>
      <c r="D118" s="3"/>
      <c r="E118" s="3"/>
      <c r="F118" s="3"/>
      <c r="G118" s="3"/>
      <c r="H118" s="3"/>
      <c r="I118" s="3"/>
      <c r="J118" s="3"/>
      <c r="K118" s="3"/>
      <c r="L118" s="3"/>
      <c r="M118" s="3"/>
    </row>
    <row r="119" ht="15.75" customHeight="1">
      <c r="A119" s="3"/>
      <c r="B119" s="3"/>
      <c r="C119" s="3"/>
      <c r="D119" s="3"/>
      <c r="E119" s="3"/>
      <c r="F119" s="3"/>
      <c r="G119" s="3"/>
      <c r="H119" s="3"/>
      <c r="I119" s="3"/>
      <c r="J119" s="3"/>
      <c r="K119" s="3"/>
      <c r="L119" s="3"/>
      <c r="M119" s="3"/>
    </row>
    <row r="120" ht="15.75" customHeight="1">
      <c r="A120" s="3"/>
      <c r="B120" s="3"/>
      <c r="C120" s="3"/>
      <c r="D120" s="3"/>
      <c r="E120" s="3"/>
      <c r="F120" s="3"/>
      <c r="G120" s="3"/>
      <c r="H120" s="3"/>
      <c r="I120" s="3"/>
      <c r="J120" s="3"/>
      <c r="K120" s="3"/>
      <c r="L120" s="3"/>
      <c r="M120" s="3"/>
    </row>
    <row r="121" ht="15.75" customHeight="1">
      <c r="A121" s="3"/>
      <c r="B121" s="3"/>
      <c r="C121" s="3"/>
      <c r="D121" s="3"/>
      <c r="E121" s="3"/>
      <c r="F121" s="3"/>
      <c r="G121" s="3"/>
      <c r="H121" s="3"/>
      <c r="I121" s="3"/>
      <c r="J121" s="3"/>
      <c r="K121" s="3"/>
      <c r="L121" s="3"/>
      <c r="M121" s="3"/>
    </row>
    <row r="122" ht="15.75" customHeight="1">
      <c r="A122" s="3"/>
      <c r="B122" s="3"/>
      <c r="C122" s="3"/>
      <c r="D122" s="3"/>
      <c r="E122" s="3"/>
      <c r="F122" s="3"/>
      <c r="G122" s="3"/>
      <c r="H122" s="3"/>
      <c r="I122" s="3"/>
      <c r="J122" s="3"/>
      <c r="K122" s="3"/>
      <c r="L122" s="3"/>
      <c r="M122" s="3"/>
    </row>
    <row r="123" ht="15.75" customHeight="1">
      <c r="A123" s="3"/>
      <c r="B123" s="3"/>
      <c r="C123" s="3"/>
      <c r="D123" s="3"/>
      <c r="E123" s="3"/>
      <c r="F123" s="3"/>
      <c r="G123" s="3"/>
      <c r="H123" s="3"/>
      <c r="I123" s="3"/>
      <c r="J123" s="3"/>
      <c r="K123" s="3"/>
      <c r="L123" s="3"/>
      <c r="M123" s="3"/>
    </row>
    <row r="124" ht="15.75" customHeight="1">
      <c r="A124" s="3"/>
      <c r="B124" s="3"/>
      <c r="C124" s="3"/>
      <c r="D124" s="3"/>
      <c r="E124" s="3"/>
      <c r="F124" s="3"/>
      <c r="G124" s="3"/>
      <c r="H124" s="3"/>
      <c r="I124" s="3"/>
      <c r="J124" s="3"/>
      <c r="K124" s="3"/>
      <c r="L124" s="3"/>
      <c r="M124" s="3"/>
    </row>
    <row r="125" ht="15.75" customHeight="1">
      <c r="A125" s="3"/>
      <c r="B125" s="3"/>
      <c r="C125" s="3"/>
      <c r="D125" s="3"/>
      <c r="E125" s="3"/>
      <c r="F125" s="3"/>
      <c r="G125" s="3"/>
      <c r="H125" s="3"/>
      <c r="I125" s="3"/>
      <c r="J125" s="3"/>
      <c r="K125" s="3"/>
      <c r="L125" s="3"/>
      <c r="M125" s="3"/>
    </row>
    <row r="126" ht="15.75" customHeight="1">
      <c r="A126" s="3"/>
      <c r="B126" s="3"/>
      <c r="C126" s="3"/>
      <c r="D126" s="3"/>
      <c r="E126" s="3"/>
      <c r="F126" s="3"/>
      <c r="G126" s="3"/>
      <c r="H126" s="3"/>
      <c r="I126" s="3"/>
      <c r="J126" s="3"/>
      <c r="K126" s="3"/>
      <c r="L126" s="3"/>
      <c r="M126" s="3"/>
    </row>
    <row r="127" ht="15.75" customHeight="1">
      <c r="A127" s="3"/>
      <c r="B127" s="3"/>
      <c r="C127" s="3"/>
      <c r="D127" s="3"/>
      <c r="E127" s="3"/>
      <c r="F127" s="3"/>
      <c r="G127" s="3"/>
      <c r="H127" s="3"/>
      <c r="I127" s="3"/>
      <c r="J127" s="3"/>
      <c r="K127" s="3"/>
      <c r="L127" s="3"/>
      <c r="M127" s="3"/>
    </row>
    <row r="128" ht="15.75" customHeight="1">
      <c r="A128" s="3"/>
      <c r="B128" s="3"/>
      <c r="C128" s="3"/>
      <c r="D128" s="3"/>
      <c r="E128" s="3"/>
      <c r="F128" s="3"/>
      <c r="G128" s="3"/>
      <c r="H128" s="3"/>
      <c r="I128" s="3"/>
      <c r="J128" s="3"/>
      <c r="K128" s="3"/>
      <c r="L128" s="3"/>
      <c r="M128" s="3"/>
    </row>
    <row r="129" ht="15.75" customHeight="1">
      <c r="A129" s="3"/>
      <c r="B129" s="3"/>
      <c r="C129" s="3"/>
      <c r="D129" s="3"/>
      <c r="E129" s="3"/>
      <c r="F129" s="3"/>
      <c r="G129" s="3"/>
      <c r="H129" s="3"/>
      <c r="I129" s="3"/>
      <c r="J129" s="3"/>
      <c r="K129" s="3"/>
      <c r="L129" s="3"/>
      <c r="M129" s="3"/>
    </row>
    <row r="130" ht="15.75" customHeight="1">
      <c r="A130" s="3"/>
      <c r="B130" s="3"/>
      <c r="C130" s="3"/>
      <c r="D130" s="3"/>
      <c r="E130" s="3"/>
      <c r="F130" s="3"/>
      <c r="G130" s="3"/>
      <c r="H130" s="3"/>
      <c r="I130" s="3"/>
      <c r="J130" s="3"/>
      <c r="K130" s="3"/>
      <c r="L130" s="3"/>
      <c r="M130" s="3"/>
    </row>
    <row r="131" ht="15.75" customHeight="1">
      <c r="A131" s="3"/>
      <c r="B131" s="3"/>
      <c r="C131" s="3"/>
      <c r="D131" s="3"/>
      <c r="E131" s="3"/>
      <c r="F131" s="3"/>
      <c r="G131" s="3"/>
      <c r="H131" s="3"/>
      <c r="I131" s="3"/>
      <c r="J131" s="3"/>
      <c r="K131" s="3"/>
      <c r="L131" s="3"/>
      <c r="M131" s="3"/>
    </row>
    <row r="132" ht="15.75" customHeight="1">
      <c r="A132" s="3"/>
      <c r="B132" s="3"/>
      <c r="C132" s="3"/>
      <c r="D132" s="3"/>
      <c r="E132" s="3"/>
      <c r="F132" s="3"/>
      <c r="G132" s="3"/>
      <c r="H132" s="3"/>
      <c r="I132" s="3"/>
      <c r="J132" s="3"/>
      <c r="K132" s="3"/>
      <c r="L132" s="3"/>
      <c r="M132" s="3"/>
    </row>
    <row r="133" ht="15.75" customHeight="1">
      <c r="A133" s="3"/>
      <c r="B133" s="3"/>
      <c r="C133" s="3"/>
      <c r="D133" s="3"/>
      <c r="E133" s="3"/>
      <c r="F133" s="3"/>
      <c r="G133" s="3"/>
      <c r="H133" s="3"/>
      <c r="I133" s="3"/>
      <c r="J133" s="3"/>
      <c r="K133" s="3"/>
      <c r="L133" s="3"/>
      <c r="M133" s="3"/>
    </row>
    <row r="134" ht="15.75" customHeight="1">
      <c r="A134" s="3"/>
      <c r="B134" s="3"/>
      <c r="C134" s="3"/>
      <c r="D134" s="3"/>
      <c r="E134" s="3"/>
      <c r="F134" s="3"/>
      <c r="G134" s="3"/>
      <c r="H134" s="3"/>
      <c r="I134" s="3"/>
      <c r="J134" s="3"/>
      <c r="K134" s="3"/>
      <c r="L134" s="3"/>
      <c r="M134" s="3"/>
    </row>
    <row r="135" ht="15.75" customHeight="1">
      <c r="A135" s="3"/>
      <c r="B135" s="3"/>
      <c r="C135" s="3"/>
      <c r="D135" s="3"/>
      <c r="E135" s="3"/>
      <c r="F135" s="3"/>
      <c r="G135" s="3"/>
      <c r="H135" s="3"/>
      <c r="I135" s="3"/>
      <c r="J135" s="3"/>
      <c r="K135" s="3"/>
      <c r="L135" s="3"/>
      <c r="M135" s="3"/>
    </row>
    <row r="136" ht="15.75" customHeight="1">
      <c r="A136" s="3"/>
      <c r="B136" s="3"/>
      <c r="C136" s="3"/>
      <c r="D136" s="3"/>
      <c r="E136" s="3"/>
      <c r="F136" s="3"/>
      <c r="G136" s="3"/>
      <c r="H136" s="3"/>
      <c r="I136" s="3"/>
      <c r="J136" s="3"/>
      <c r="K136" s="3"/>
      <c r="L136" s="3"/>
      <c r="M136" s="3"/>
    </row>
    <row r="137" ht="15.75" customHeight="1">
      <c r="A137" s="3"/>
      <c r="B137" s="3"/>
      <c r="C137" s="3"/>
      <c r="D137" s="3"/>
      <c r="E137" s="3"/>
      <c r="F137" s="3"/>
      <c r="G137" s="3"/>
      <c r="H137" s="3"/>
      <c r="I137" s="3"/>
      <c r="J137" s="3"/>
      <c r="K137" s="3"/>
      <c r="L137" s="3"/>
      <c r="M137" s="3"/>
    </row>
    <row r="138" ht="15.75" customHeight="1">
      <c r="A138" s="3"/>
      <c r="B138" s="3"/>
      <c r="C138" s="3"/>
      <c r="D138" s="3"/>
      <c r="E138" s="3"/>
      <c r="F138" s="3"/>
      <c r="G138" s="3"/>
      <c r="H138" s="3"/>
      <c r="I138" s="3"/>
      <c r="J138" s="3"/>
      <c r="K138" s="3"/>
      <c r="L138" s="3"/>
      <c r="M138" s="3"/>
    </row>
    <row r="139" ht="15.75" customHeight="1">
      <c r="A139" s="3"/>
      <c r="B139" s="3"/>
      <c r="C139" s="3"/>
      <c r="D139" s="3"/>
      <c r="E139" s="3"/>
      <c r="F139" s="3"/>
      <c r="G139" s="3"/>
      <c r="H139" s="3"/>
      <c r="I139" s="3"/>
      <c r="J139" s="3"/>
      <c r="K139" s="3"/>
      <c r="L139" s="3"/>
      <c r="M139" s="3"/>
    </row>
    <row r="140" ht="15.75" customHeight="1">
      <c r="A140" s="3"/>
      <c r="B140" s="3"/>
      <c r="C140" s="3"/>
      <c r="D140" s="3"/>
      <c r="E140" s="3"/>
      <c r="F140" s="3"/>
      <c r="G140" s="3"/>
      <c r="H140" s="3"/>
      <c r="I140" s="3"/>
      <c r="J140" s="3"/>
      <c r="K140" s="3"/>
      <c r="L140" s="3"/>
      <c r="M140" s="3"/>
    </row>
    <row r="141" ht="15.75" customHeight="1">
      <c r="A141" s="3"/>
      <c r="B141" s="3"/>
      <c r="C141" s="3"/>
      <c r="D141" s="3"/>
      <c r="E141" s="3"/>
      <c r="F141" s="3"/>
      <c r="G141" s="3"/>
      <c r="H141" s="3"/>
      <c r="I141" s="3"/>
      <c r="J141" s="3"/>
      <c r="K141" s="3"/>
      <c r="L141" s="3"/>
      <c r="M141" s="3"/>
    </row>
    <row r="142" ht="15.75" customHeight="1">
      <c r="A142" s="3"/>
      <c r="B142" s="3"/>
      <c r="C142" s="3"/>
      <c r="D142" s="3"/>
      <c r="E142" s="3"/>
      <c r="F142" s="3"/>
      <c r="G142" s="3"/>
      <c r="H142" s="3"/>
      <c r="I142" s="3"/>
      <c r="J142" s="3"/>
      <c r="K142" s="3"/>
      <c r="L142" s="3"/>
      <c r="M142" s="3"/>
    </row>
    <row r="143" ht="15.75" customHeight="1">
      <c r="A143" s="3"/>
      <c r="B143" s="3"/>
      <c r="C143" s="3"/>
      <c r="D143" s="3"/>
      <c r="E143" s="3"/>
      <c r="F143" s="3"/>
      <c r="G143" s="3"/>
      <c r="H143" s="3"/>
      <c r="I143" s="3"/>
      <c r="J143" s="3"/>
      <c r="K143" s="3"/>
      <c r="L143" s="3"/>
      <c r="M143" s="3"/>
    </row>
    <row r="144" ht="15.75" customHeight="1">
      <c r="A144" s="3"/>
      <c r="B144" s="3"/>
      <c r="C144" s="3"/>
      <c r="D144" s="3"/>
      <c r="E144" s="3"/>
      <c r="F144" s="3"/>
      <c r="G144" s="3"/>
      <c r="H144" s="3"/>
      <c r="I144" s="3"/>
      <c r="J144" s="3"/>
      <c r="K144" s="3"/>
      <c r="L144" s="3"/>
      <c r="M144" s="3"/>
    </row>
    <row r="145" ht="15.75" customHeight="1">
      <c r="A145" s="3"/>
      <c r="B145" s="3"/>
      <c r="C145" s="3"/>
      <c r="D145" s="3"/>
      <c r="E145" s="3"/>
      <c r="F145" s="3"/>
      <c r="G145" s="3"/>
      <c r="H145" s="3"/>
      <c r="I145" s="3"/>
      <c r="J145" s="3"/>
      <c r="K145" s="3"/>
      <c r="L145" s="3"/>
      <c r="M145" s="3"/>
    </row>
    <row r="146" ht="15.75" customHeight="1">
      <c r="A146" s="3"/>
      <c r="B146" s="3"/>
      <c r="C146" s="3"/>
      <c r="D146" s="3"/>
      <c r="E146" s="3"/>
      <c r="F146" s="3"/>
      <c r="G146" s="3"/>
      <c r="H146" s="3"/>
      <c r="I146" s="3"/>
      <c r="J146" s="3"/>
      <c r="K146" s="3"/>
      <c r="L146" s="3"/>
      <c r="M146" s="3"/>
    </row>
    <row r="147" ht="15.75" customHeight="1">
      <c r="A147" s="3"/>
      <c r="B147" s="3"/>
      <c r="C147" s="3"/>
      <c r="D147" s="3"/>
      <c r="E147" s="3"/>
      <c r="F147" s="3"/>
      <c r="G147" s="3"/>
      <c r="H147" s="3"/>
      <c r="I147" s="3"/>
      <c r="J147" s="3"/>
      <c r="K147" s="3"/>
      <c r="L147" s="3"/>
      <c r="M147" s="3"/>
    </row>
    <row r="148" ht="15.75" customHeight="1">
      <c r="A148" s="3"/>
      <c r="B148" s="3"/>
      <c r="C148" s="3"/>
      <c r="D148" s="3"/>
      <c r="E148" s="3"/>
      <c r="F148" s="3"/>
      <c r="G148" s="3"/>
      <c r="H148" s="3"/>
      <c r="I148" s="3"/>
      <c r="J148" s="3"/>
      <c r="K148" s="3"/>
      <c r="L148" s="3"/>
      <c r="M148" s="3"/>
    </row>
    <row r="149" ht="15.75" customHeight="1">
      <c r="A149" s="3"/>
      <c r="B149" s="3"/>
      <c r="C149" s="3"/>
      <c r="D149" s="3"/>
      <c r="E149" s="3"/>
      <c r="F149" s="3"/>
      <c r="G149" s="3"/>
      <c r="H149" s="3"/>
      <c r="I149" s="3"/>
      <c r="J149" s="3"/>
      <c r="K149" s="3"/>
      <c r="L149" s="3"/>
      <c r="M149" s="3"/>
    </row>
    <row r="150" ht="15.75" customHeight="1">
      <c r="A150" s="3"/>
      <c r="B150" s="3"/>
      <c r="C150" s="3"/>
      <c r="D150" s="3"/>
      <c r="E150" s="3"/>
      <c r="F150" s="3"/>
      <c r="G150" s="3"/>
      <c r="H150" s="3"/>
      <c r="I150" s="3"/>
      <c r="J150" s="3"/>
      <c r="K150" s="3"/>
      <c r="L150" s="3"/>
      <c r="M150" s="3"/>
    </row>
    <row r="151" ht="15.75" customHeight="1">
      <c r="A151" s="3"/>
      <c r="B151" s="3"/>
      <c r="C151" s="3"/>
      <c r="D151" s="3"/>
      <c r="E151" s="3"/>
      <c r="F151" s="3"/>
      <c r="G151" s="3"/>
      <c r="H151" s="3"/>
      <c r="I151" s="3"/>
      <c r="J151" s="3"/>
      <c r="K151" s="3"/>
      <c r="L151" s="3"/>
      <c r="M151" s="3"/>
    </row>
    <row r="152" ht="15.75" customHeight="1">
      <c r="A152" s="3"/>
      <c r="B152" s="3"/>
      <c r="C152" s="3"/>
      <c r="D152" s="3"/>
      <c r="E152" s="3"/>
      <c r="F152" s="3"/>
      <c r="G152" s="3"/>
      <c r="H152" s="3"/>
      <c r="I152" s="3"/>
      <c r="J152" s="3"/>
      <c r="K152" s="3"/>
      <c r="L152" s="3"/>
      <c r="M152" s="3"/>
    </row>
    <row r="153" ht="15.75" customHeight="1">
      <c r="A153" s="3"/>
      <c r="B153" s="3"/>
      <c r="C153" s="3"/>
      <c r="D153" s="3"/>
      <c r="E153" s="3"/>
      <c r="F153" s="3"/>
      <c r="G153" s="3"/>
      <c r="H153" s="3"/>
      <c r="I153" s="3"/>
      <c r="J153" s="3"/>
      <c r="K153" s="3"/>
      <c r="L153" s="3"/>
      <c r="M153" s="3"/>
    </row>
    <row r="154" ht="15.75" customHeight="1">
      <c r="A154" s="3"/>
      <c r="B154" s="3"/>
      <c r="C154" s="3"/>
      <c r="D154" s="3"/>
      <c r="E154" s="3"/>
      <c r="F154" s="3"/>
      <c r="G154" s="3"/>
      <c r="H154" s="3"/>
      <c r="I154" s="3"/>
      <c r="J154" s="3"/>
      <c r="K154" s="3"/>
      <c r="L154" s="3"/>
      <c r="M154" s="3"/>
    </row>
    <row r="155" ht="15.75" customHeight="1">
      <c r="A155" s="3"/>
      <c r="B155" s="3"/>
      <c r="C155" s="3"/>
      <c r="D155" s="3"/>
      <c r="E155" s="3"/>
      <c r="F155" s="3"/>
      <c r="G155" s="3"/>
      <c r="H155" s="3"/>
      <c r="I155" s="3"/>
      <c r="J155" s="3"/>
      <c r="K155" s="3"/>
      <c r="L155" s="3"/>
      <c r="M155" s="3"/>
    </row>
    <row r="156" ht="15.75" customHeight="1">
      <c r="A156" s="3"/>
      <c r="B156" s="3"/>
      <c r="C156" s="3"/>
      <c r="D156" s="3"/>
      <c r="E156" s="3"/>
      <c r="F156" s="3"/>
      <c r="G156" s="3"/>
      <c r="H156" s="3"/>
      <c r="I156" s="3"/>
      <c r="J156" s="3"/>
      <c r="K156" s="3"/>
      <c r="L156" s="3"/>
      <c r="M156" s="3"/>
    </row>
    <row r="157" ht="15.75" customHeight="1">
      <c r="A157" s="3"/>
      <c r="B157" s="3"/>
      <c r="C157" s="3"/>
      <c r="D157" s="3"/>
      <c r="E157" s="3"/>
      <c r="F157" s="3"/>
      <c r="G157" s="3"/>
      <c r="H157" s="3"/>
      <c r="I157" s="3"/>
      <c r="J157" s="3"/>
      <c r="K157" s="3"/>
      <c r="L157" s="3"/>
      <c r="M157" s="3"/>
    </row>
    <row r="158" ht="15.75" customHeight="1">
      <c r="A158" s="3"/>
      <c r="B158" s="3"/>
      <c r="C158" s="3"/>
      <c r="D158" s="3"/>
      <c r="E158" s="3"/>
      <c r="F158" s="3"/>
      <c r="G158" s="3"/>
      <c r="H158" s="3"/>
      <c r="I158" s="3"/>
      <c r="J158" s="3"/>
      <c r="K158" s="3"/>
      <c r="L158" s="3"/>
      <c r="M158" s="3"/>
    </row>
    <row r="159" ht="15.75" customHeight="1">
      <c r="A159" s="3"/>
      <c r="B159" s="3"/>
      <c r="C159" s="3"/>
      <c r="D159" s="3"/>
      <c r="E159" s="3"/>
      <c r="F159" s="3"/>
      <c r="G159" s="3"/>
      <c r="H159" s="3"/>
      <c r="I159" s="3"/>
      <c r="J159" s="3"/>
      <c r="K159" s="3"/>
      <c r="L159" s="3"/>
      <c r="M159" s="3"/>
    </row>
    <row r="160" ht="15.75" customHeight="1">
      <c r="A160" s="3"/>
      <c r="B160" s="3"/>
      <c r="C160" s="3"/>
      <c r="D160" s="3"/>
      <c r="E160" s="3"/>
      <c r="F160" s="3"/>
      <c r="G160" s="3"/>
      <c r="H160" s="3"/>
      <c r="I160" s="3"/>
      <c r="J160" s="3"/>
      <c r="K160" s="3"/>
      <c r="L160" s="3"/>
      <c r="M160" s="3"/>
    </row>
    <row r="161" ht="15.75" customHeight="1">
      <c r="A161" s="3"/>
      <c r="B161" s="3"/>
      <c r="C161" s="3"/>
      <c r="D161" s="3"/>
      <c r="E161" s="3"/>
      <c r="F161" s="3"/>
      <c r="G161" s="3"/>
      <c r="H161" s="3"/>
      <c r="I161" s="3"/>
      <c r="J161" s="3"/>
      <c r="K161" s="3"/>
      <c r="L161" s="3"/>
      <c r="M161" s="3"/>
    </row>
    <row r="162" ht="15.75" customHeight="1">
      <c r="A162" s="3"/>
      <c r="B162" s="3"/>
      <c r="C162" s="3"/>
      <c r="D162" s="3"/>
      <c r="E162" s="3"/>
      <c r="F162" s="3"/>
      <c r="G162" s="3"/>
      <c r="H162" s="3"/>
      <c r="I162" s="3"/>
      <c r="J162" s="3"/>
      <c r="K162" s="3"/>
      <c r="L162" s="3"/>
      <c r="M162" s="3"/>
    </row>
    <row r="163" ht="15.75" customHeight="1">
      <c r="A163" s="3"/>
      <c r="B163" s="3"/>
      <c r="C163" s="3"/>
      <c r="D163" s="3"/>
      <c r="E163" s="3"/>
      <c r="F163" s="3"/>
      <c r="G163" s="3"/>
      <c r="H163" s="3"/>
      <c r="I163" s="3"/>
      <c r="J163" s="3"/>
      <c r="K163" s="3"/>
      <c r="L163" s="3"/>
      <c r="M163" s="3"/>
    </row>
    <row r="164" ht="15.75" customHeight="1">
      <c r="A164" s="3"/>
      <c r="B164" s="3"/>
      <c r="C164" s="3"/>
      <c r="D164" s="3"/>
      <c r="E164" s="3"/>
      <c r="F164" s="3"/>
      <c r="G164" s="3"/>
      <c r="H164" s="3"/>
      <c r="I164" s="3"/>
      <c r="J164" s="3"/>
      <c r="K164" s="3"/>
      <c r="L164" s="3"/>
      <c r="M164" s="3"/>
    </row>
    <row r="165" ht="15.75" customHeight="1">
      <c r="A165" s="3"/>
      <c r="B165" s="3"/>
      <c r="C165" s="3"/>
      <c r="D165" s="3"/>
      <c r="E165" s="3"/>
      <c r="F165" s="3"/>
      <c r="G165" s="3"/>
      <c r="H165" s="3"/>
      <c r="I165" s="3"/>
      <c r="J165" s="3"/>
      <c r="K165" s="3"/>
      <c r="L165" s="3"/>
      <c r="M165" s="3"/>
    </row>
    <row r="166" ht="15.75" customHeight="1">
      <c r="A166" s="3"/>
      <c r="B166" s="3"/>
      <c r="C166" s="3"/>
      <c r="D166" s="3"/>
      <c r="E166" s="3"/>
      <c r="F166" s="3"/>
      <c r="G166" s="3"/>
      <c r="H166" s="3"/>
      <c r="I166" s="3"/>
      <c r="J166" s="3"/>
      <c r="K166" s="3"/>
      <c r="L166" s="3"/>
      <c r="M166" s="3"/>
    </row>
    <row r="167" ht="15.75" customHeight="1">
      <c r="A167" s="3"/>
      <c r="B167" s="3"/>
      <c r="C167" s="3"/>
      <c r="D167" s="3"/>
      <c r="E167" s="3"/>
      <c r="F167" s="3"/>
      <c r="G167" s="3"/>
      <c r="H167" s="3"/>
      <c r="I167" s="3"/>
      <c r="J167" s="3"/>
      <c r="K167" s="3"/>
      <c r="L167" s="3"/>
      <c r="M167" s="3"/>
    </row>
    <row r="168" ht="15.75" customHeight="1">
      <c r="A168" s="3"/>
      <c r="B168" s="3"/>
      <c r="C168" s="3"/>
      <c r="D168" s="3"/>
      <c r="E168" s="3"/>
      <c r="F168" s="3"/>
      <c r="G168" s="3"/>
      <c r="H168" s="3"/>
      <c r="I168" s="3"/>
      <c r="J168" s="3"/>
      <c r="K168" s="3"/>
      <c r="L168" s="3"/>
      <c r="M168" s="3"/>
    </row>
    <row r="169" ht="15.75" customHeight="1">
      <c r="A169" s="3"/>
      <c r="B169" s="3"/>
      <c r="C169" s="3"/>
      <c r="D169" s="3"/>
      <c r="E169" s="3"/>
      <c r="F169" s="3"/>
      <c r="G169" s="3"/>
      <c r="H169" s="3"/>
      <c r="I169" s="3"/>
      <c r="J169" s="3"/>
      <c r="K169" s="3"/>
      <c r="L169" s="3"/>
      <c r="M169" s="3"/>
    </row>
    <row r="170" ht="15.75" customHeight="1">
      <c r="A170" s="3"/>
      <c r="B170" s="3"/>
      <c r="C170" s="3"/>
      <c r="D170" s="3"/>
      <c r="E170" s="3"/>
      <c r="F170" s="3"/>
      <c r="G170" s="3"/>
      <c r="H170" s="3"/>
      <c r="I170" s="3"/>
      <c r="J170" s="3"/>
      <c r="K170" s="3"/>
      <c r="L170" s="3"/>
      <c r="M170" s="3"/>
    </row>
    <row r="171" ht="15.75" customHeight="1">
      <c r="A171" s="3"/>
      <c r="B171" s="3"/>
      <c r="C171" s="3"/>
      <c r="D171" s="3"/>
      <c r="E171" s="3"/>
      <c r="F171" s="3"/>
      <c r="G171" s="3"/>
      <c r="H171" s="3"/>
      <c r="I171" s="3"/>
      <c r="J171" s="3"/>
      <c r="K171" s="3"/>
      <c r="L171" s="3"/>
      <c r="M171" s="3"/>
    </row>
    <row r="172" ht="15.75" customHeight="1">
      <c r="A172" s="3"/>
      <c r="B172" s="3"/>
      <c r="C172" s="3"/>
      <c r="D172" s="3"/>
      <c r="E172" s="3"/>
      <c r="F172" s="3"/>
      <c r="G172" s="3"/>
      <c r="H172" s="3"/>
      <c r="I172" s="3"/>
      <c r="J172" s="3"/>
      <c r="K172" s="3"/>
      <c r="L172" s="3"/>
      <c r="M172" s="3"/>
    </row>
    <row r="173" ht="15.75" customHeight="1">
      <c r="A173" s="3"/>
      <c r="B173" s="3"/>
      <c r="C173" s="3"/>
      <c r="D173" s="3"/>
      <c r="E173" s="3"/>
      <c r="F173" s="3"/>
      <c r="G173" s="3"/>
      <c r="H173" s="3"/>
      <c r="I173" s="3"/>
      <c r="J173" s="3"/>
      <c r="K173" s="3"/>
      <c r="L173" s="3"/>
      <c r="M173" s="3"/>
    </row>
    <row r="174" ht="15.75" customHeight="1">
      <c r="A174" s="3"/>
      <c r="B174" s="3"/>
      <c r="C174" s="3"/>
      <c r="D174" s="3"/>
      <c r="E174" s="3"/>
      <c r="F174" s="3"/>
      <c r="G174" s="3"/>
      <c r="H174" s="3"/>
      <c r="I174" s="3"/>
      <c r="J174" s="3"/>
      <c r="K174" s="3"/>
      <c r="L174" s="3"/>
      <c r="M174" s="3"/>
    </row>
    <row r="175" ht="15.75" customHeight="1">
      <c r="A175" s="3"/>
      <c r="B175" s="3"/>
      <c r="C175" s="3"/>
      <c r="D175" s="3"/>
      <c r="E175" s="3"/>
      <c r="F175" s="3"/>
      <c r="G175" s="3"/>
      <c r="H175" s="3"/>
      <c r="I175" s="3"/>
      <c r="J175" s="3"/>
      <c r="K175" s="3"/>
      <c r="L175" s="3"/>
      <c r="M175" s="3"/>
    </row>
    <row r="176" ht="15.75" customHeight="1">
      <c r="A176" s="3"/>
      <c r="B176" s="3"/>
      <c r="C176" s="3"/>
      <c r="D176" s="3"/>
      <c r="E176" s="3"/>
      <c r="F176" s="3"/>
      <c r="G176" s="3"/>
      <c r="H176" s="3"/>
      <c r="I176" s="3"/>
      <c r="J176" s="3"/>
      <c r="K176" s="3"/>
      <c r="L176" s="3"/>
      <c r="M176" s="3"/>
    </row>
    <row r="177" ht="15.75" customHeight="1">
      <c r="A177" s="3"/>
      <c r="B177" s="3"/>
      <c r="C177" s="3"/>
      <c r="D177" s="3"/>
      <c r="E177" s="3"/>
      <c r="F177" s="3"/>
      <c r="G177" s="3"/>
      <c r="H177" s="3"/>
      <c r="I177" s="3"/>
      <c r="J177" s="3"/>
      <c r="K177" s="3"/>
      <c r="L177" s="3"/>
      <c r="M177" s="3"/>
    </row>
    <row r="178" ht="15.75" customHeight="1">
      <c r="A178" s="3"/>
      <c r="B178" s="3"/>
      <c r="C178" s="3"/>
      <c r="D178" s="3"/>
      <c r="E178" s="3"/>
      <c r="F178" s="3"/>
      <c r="G178" s="3"/>
      <c r="H178" s="3"/>
      <c r="I178" s="3"/>
      <c r="J178" s="3"/>
      <c r="K178" s="3"/>
      <c r="L178" s="3"/>
      <c r="M178" s="3"/>
    </row>
    <row r="179" ht="15.75" customHeight="1">
      <c r="A179" s="3"/>
      <c r="B179" s="3"/>
      <c r="C179" s="3"/>
      <c r="D179" s="3"/>
      <c r="E179" s="3"/>
      <c r="F179" s="3"/>
      <c r="G179" s="3"/>
      <c r="H179" s="3"/>
      <c r="I179" s="3"/>
      <c r="J179" s="3"/>
      <c r="K179" s="3"/>
      <c r="L179" s="3"/>
      <c r="M179" s="3"/>
    </row>
    <row r="180" ht="15.75" customHeight="1">
      <c r="A180" s="3"/>
      <c r="B180" s="3"/>
      <c r="C180" s="3"/>
      <c r="D180" s="3"/>
      <c r="E180" s="3"/>
      <c r="F180" s="3"/>
      <c r="G180" s="3"/>
      <c r="H180" s="3"/>
      <c r="I180" s="3"/>
      <c r="J180" s="3"/>
      <c r="K180" s="3"/>
      <c r="L180" s="3"/>
      <c r="M180" s="3"/>
    </row>
    <row r="181" ht="15.75" customHeight="1">
      <c r="A181" s="3"/>
      <c r="B181" s="3"/>
      <c r="C181" s="3"/>
      <c r="D181" s="3"/>
      <c r="E181" s="3"/>
      <c r="F181" s="3"/>
      <c r="G181" s="3"/>
      <c r="H181" s="3"/>
      <c r="I181" s="3"/>
      <c r="J181" s="3"/>
      <c r="K181" s="3"/>
      <c r="L181" s="3"/>
      <c r="M181" s="3"/>
    </row>
    <row r="182" ht="15.75" customHeight="1">
      <c r="A182" s="3"/>
      <c r="B182" s="3"/>
      <c r="C182" s="3"/>
      <c r="D182" s="3"/>
      <c r="E182" s="3"/>
      <c r="F182" s="3"/>
      <c r="G182" s="3"/>
      <c r="H182" s="3"/>
      <c r="I182" s="3"/>
      <c r="J182" s="3"/>
      <c r="K182" s="3"/>
      <c r="L182" s="3"/>
      <c r="M182" s="3"/>
    </row>
    <row r="183" ht="15.75" customHeight="1">
      <c r="A183" s="3"/>
      <c r="B183" s="3"/>
      <c r="C183" s="3"/>
      <c r="D183" s="3"/>
      <c r="E183" s="3"/>
      <c r="F183" s="3"/>
      <c r="G183" s="3"/>
      <c r="H183" s="3"/>
      <c r="I183" s="3"/>
      <c r="J183" s="3"/>
      <c r="K183" s="3"/>
      <c r="L183" s="3"/>
      <c r="M183" s="3"/>
    </row>
    <row r="184" ht="15.75" customHeight="1">
      <c r="A184" s="3"/>
      <c r="B184" s="3"/>
      <c r="C184" s="3"/>
      <c r="D184" s="3"/>
      <c r="E184" s="3"/>
      <c r="F184" s="3"/>
      <c r="G184" s="3"/>
      <c r="H184" s="3"/>
      <c r="I184" s="3"/>
      <c r="J184" s="3"/>
      <c r="K184" s="3"/>
      <c r="L184" s="3"/>
      <c r="M184" s="3"/>
    </row>
    <row r="185" ht="15.75" customHeight="1">
      <c r="A185" s="3"/>
      <c r="B185" s="3"/>
      <c r="C185" s="3"/>
      <c r="D185" s="3"/>
      <c r="E185" s="3"/>
      <c r="F185" s="3"/>
      <c r="G185" s="3"/>
      <c r="H185" s="3"/>
      <c r="I185" s="3"/>
      <c r="J185" s="3"/>
      <c r="K185" s="3"/>
      <c r="L185" s="3"/>
      <c r="M185" s="3"/>
    </row>
    <row r="186" ht="15.75" customHeight="1">
      <c r="A186" s="3"/>
      <c r="B186" s="3"/>
      <c r="C186" s="3"/>
      <c r="D186" s="3"/>
      <c r="E186" s="3"/>
      <c r="F186" s="3"/>
      <c r="G186" s="3"/>
      <c r="H186" s="3"/>
      <c r="I186" s="3"/>
      <c r="J186" s="3"/>
      <c r="K186" s="3"/>
      <c r="L186" s="3"/>
      <c r="M186" s="3"/>
    </row>
    <row r="187" ht="15.75" customHeight="1">
      <c r="A187" s="3"/>
      <c r="B187" s="3"/>
      <c r="C187" s="3"/>
      <c r="D187" s="3"/>
      <c r="E187" s="3"/>
      <c r="F187" s="3"/>
      <c r="G187" s="3"/>
      <c r="H187" s="3"/>
      <c r="I187" s="3"/>
      <c r="J187" s="3"/>
      <c r="K187" s="3"/>
      <c r="L187" s="3"/>
      <c r="M187" s="3"/>
    </row>
    <row r="188" ht="15.75" customHeight="1">
      <c r="A188" s="3"/>
      <c r="B188" s="3"/>
      <c r="C188" s="3"/>
      <c r="D188" s="3"/>
      <c r="E188" s="3"/>
      <c r="F188" s="3"/>
      <c r="G188" s="3"/>
      <c r="H188" s="3"/>
      <c r="I188" s="3"/>
      <c r="J188" s="3"/>
      <c r="K188" s="3"/>
      <c r="L188" s="3"/>
      <c r="M188" s="3"/>
    </row>
    <row r="189" ht="15.75" customHeight="1">
      <c r="A189" s="3"/>
      <c r="B189" s="3"/>
      <c r="C189" s="3"/>
      <c r="D189" s="3"/>
      <c r="E189" s="3"/>
      <c r="F189" s="3"/>
      <c r="G189" s="3"/>
      <c r="H189" s="3"/>
      <c r="I189" s="3"/>
      <c r="J189" s="3"/>
      <c r="K189" s="3"/>
      <c r="L189" s="3"/>
      <c r="M189" s="3"/>
    </row>
    <row r="190" ht="15.75" customHeight="1">
      <c r="A190" s="3"/>
      <c r="B190" s="3"/>
      <c r="C190" s="3"/>
      <c r="D190" s="3"/>
      <c r="E190" s="3"/>
      <c r="F190" s="3"/>
      <c r="G190" s="3"/>
      <c r="H190" s="3"/>
      <c r="I190" s="3"/>
      <c r="J190" s="3"/>
      <c r="K190" s="3"/>
      <c r="L190" s="3"/>
      <c r="M190" s="3"/>
    </row>
    <row r="191" ht="15.75" customHeight="1">
      <c r="A191" s="3"/>
      <c r="B191" s="3"/>
      <c r="C191" s="3"/>
      <c r="D191" s="3"/>
      <c r="E191" s="3"/>
      <c r="F191" s="3"/>
      <c r="G191" s="3"/>
      <c r="H191" s="3"/>
      <c r="I191" s="3"/>
      <c r="J191" s="3"/>
      <c r="K191" s="3"/>
      <c r="L191" s="3"/>
      <c r="M191" s="3"/>
    </row>
    <row r="192" ht="15.75" customHeight="1">
      <c r="A192" s="3"/>
      <c r="B192" s="3"/>
      <c r="C192" s="3"/>
      <c r="D192" s="3"/>
      <c r="E192" s="3"/>
      <c r="F192" s="3"/>
      <c r="G192" s="3"/>
      <c r="H192" s="3"/>
      <c r="I192" s="3"/>
      <c r="J192" s="3"/>
      <c r="K192" s="3"/>
      <c r="L192" s="3"/>
      <c r="M192" s="3"/>
    </row>
    <row r="193" ht="15.75" customHeight="1">
      <c r="A193" s="3"/>
      <c r="B193" s="3"/>
      <c r="C193" s="3"/>
      <c r="D193" s="3"/>
      <c r="E193" s="3"/>
      <c r="F193" s="3"/>
      <c r="G193" s="3"/>
      <c r="H193" s="3"/>
      <c r="I193" s="3"/>
      <c r="J193" s="3"/>
      <c r="K193" s="3"/>
      <c r="L193" s="3"/>
      <c r="M193" s="3"/>
    </row>
    <row r="194" ht="15.75" customHeight="1">
      <c r="A194" s="3"/>
      <c r="B194" s="3"/>
      <c r="C194" s="3"/>
      <c r="D194" s="3"/>
      <c r="E194" s="3"/>
      <c r="F194" s="3"/>
      <c r="G194" s="3"/>
      <c r="H194" s="3"/>
      <c r="I194" s="3"/>
      <c r="J194" s="3"/>
      <c r="K194" s="3"/>
      <c r="L194" s="3"/>
      <c r="M194" s="3"/>
    </row>
    <row r="195" ht="15.75" customHeight="1">
      <c r="A195" s="3"/>
      <c r="B195" s="3"/>
      <c r="C195" s="3"/>
      <c r="D195" s="3"/>
      <c r="E195" s="3"/>
      <c r="F195" s="3"/>
      <c r="G195" s="3"/>
      <c r="H195" s="3"/>
      <c r="I195" s="3"/>
      <c r="J195" s="3"/>
      <c r="K195" s="3"/>
      <c r="L195" s="3"/>
      <c r="M195" s="3"/>
    </row>
    <row r="196" ht="15.75" customHeight="1">
      <c r="A196" s="3"/>
      <c r="B196" s="3"/>
      <c r="C196" s="3"/>
      <c r="D196" s="3"/>
      <c r="E196" s="3"/>
      <c r="F196" s="3"/>
      <c r="G196" s="3"/>
      <c r="H196" s="3"/>
      <c r="I196" s="3"/>
      <c r="J196" s="3"/>
      <c r="K196" s="3"/>
      <c r="L196" s="3"/>
      <c r="M196" s="3"/>
    </row>
    <row r="197" ht="15.75" customHeight="1">
      <c r="A197" s="3"/>
      <c r="B197" s="3"/>
      <c r="C197" s="3"/>
      <c r="D197" s="3"/>
      <c r="E197" s="3"/>
      <c r="F197" s="3"/>
      <c r="G197" s="3"/>
      <c r="H197" s="3"/>
      <c r="I197" s="3"/>
      <c r="J197" s="3"/>
      <c r="K197" s="3"/>
      <c r="L197" s="3"/>
      <c r="M197" s="3"/>
    </row>
    <row r="198" ht="15.75" customHeight="1">
      <c r="A198" s="3"/>
      <c r="B198" s="3"/>
      <c r="C198" s="3"/>
      <c r="D198" s="3"/>
      <c r="E198" s="3"/>
      <c r="F198" s="3"/>
      <c r="G198" s="3"/>
      <c r="H198" s="3"/>
      <c r="I198" s="3"/>
      <c r="J198" s="3"/>
      <c r="K198" s="3"/>
      <c r="L198" s="3"/>
      <c r="M198" s="3"/>
    </row>
    <row r="199" ht="15.75" customHeight="1">
      <c r="A199" s="3"/>
      <c r="B199" s="3"/>
      <c r="C199" s="3"/>
      <c r="D199" s="3"/>
      <c r="E199" s="3"/>
      <c r="F199" s="3"/>
      <c r="G199" s="3"/>
      <c r="H199" s="3"/>
      <c r="I199" s="3"/>
      <c r="J199" s="3"/>
      <c r="K199" s="3"/>
      <c r="L199" s="3"/>
      <c r="M199" s="3"/>
    </row>
    <row r="200" ht="15.75" customHeight="1">
      <c r="A200" s="3"/>
      <c r="B200" s="3"/>
      <c r="C200" s="3"/>
      <c r="D200" s="3"/>
      <c r="E200" s="3"/>
      <c r="F200" s="3"/>
      <c r="G200" s="3"/>
      <c r="H200" s="3"/>
      <c r="I200" s="3"/>
      <c r="J200" s="3"/>
      <c r="K200" s="3"/>
      <c r="L200" s="3"/>
      <c r="M200" s="3"/>
    </row>
    <row r="201" ht="15.75" customHeight="1">
      <c r="A201" s="3"/>
      <c r="B201" s="3"/>
      <c r="C201" s="3"/>
      <c r="D201" s="3"/>
      <c r="E201" s="3"/>
      <c r="F201" s="3"/>
      <c r="G201" s="3"/>
      <c r="H201" s="3"/>
      <c r="I201" s="3"/>
      <c r="J201" s="3"/>
      <c r="K201" s="3"/>
      <c r="L201" s="3"/>
      <c r="M201" s="3"/>
    </row>
    <row r="202" ht="15.75" customHeight="1">
      <c r="A202" s="3"/>
      <c r="B202" s="3"/>
      <c r="C202" s="3"/>
      <c r="D202" s="3"/>
      <c r="E202" s="3"/>
      <c r="F202" s="3"/>
      <c r="G202" s="3"/>
      <c r="H202" s="3"/>
      <c r="I202" s="3"/>
      <c r="J202" s="3"/>
      <c r="K202" s="3"/>
      <c r="L202" s="3"/>
      <c r="M202" s="3"/>
    </row>
    <row r="203" ht="15.75" customHeight="1">
      <c r="A203" s="3"/>
      <c r="B203" s="3"/>
      <c r="C203" s="3"/>
      <c r="D203" s="3"/>
      <c r="E203" s="3"/>
      <c r="F203" s="3"/>
      <c r="G203" s="3"/>
      <c r="H203" s="3"/>
      <c r="I203" s="3"/>
      <c r="J203" s="3"/>
      <c r="K203" s="3"/>
      <c r="L203" s="3"/>
      <c r="M203" s="3"/>
    </row>
    <row r="204" ht="15.75" customHeight="1">
      <c r="A204" s="3"/>
      <c r="B204" s="3"/>
      <c r="C204" s="3"/>
      <c r="D204" s="3"/>
      <c r="E204" s="3"/>
      <c r="F204" s="3"/>
      <c r="G204" s="3"/>
      <c r="H204" s="3"/>
      <c r="I204" s="3"/>
      <c r="J204" s="3"/>
      <c r="K204" s="3"/>
      <c r="L204" s="3"/>
      <c r="M204" s="3"/>
    </row>
    <row r="205" ht="15.75" customHeight="1">
      <c r="A205" s="3"/>
      <c r="B205" s="3"/>
      <c r="C205" s="3"/>
      <c r="D205" s="3"/>
      <c r="E205" s="3"/>
      <c r="F205" s="3"/>
      <c r="G205" s="3"/>
      <c r="H205" s="3"/>
      <c r="I205" s="3"/>
      <c r="J205" s="3"/>
      <c r="K205" s="3"/>
      <c r="L205" s="3"/>
      <c r="M205" s="3"/>
    </row>
    <row r="206" ht="15.75" customHeight="1">
      <c r="A206" s="3"/>
      <c r="B206" s="3"/>
      <c r="C206" s="3"/>
      <c r="D206" s="3"/>
      <c r="E206" s="3"/>
      <c r="F206" s="3"/>
      <c r="G206" s="3"/>
      <c r="H206" s="3"/>
      <c r="I206" s="3"/>
      <c r="J206" s="3"/>
      <c r="K206" s="3"/>
      <c r="L206" s="3"/>
      <c r="M206" s="3"/>
    </row>
    <row r="207" ht="15.75" customHeight="1">
      <c r="A207" s="3"/>
      <c r="B207" s="3"/>
      <c r="C207" s="3"/>
      <c r="D207" s="3"/>
      <c r="E207" s="3"/>
      <c r="F207" s="3"/>
      <c r="G207" s="3"/>
      <c r="H207" s="3"/>
      <c r="I207" s="3"/>
      <c r="J207" s="3"/>
      <c r="K207" s="3"/>
      <c r="L207" s="3"/>
      <c r="M207" s="3"/>
    </row>
    <row r="208" ht="15.75" customHeight="1">
      <c r="A208" s="3"/>
      <c r="B208" s="3"/>
      <c r="C208" s="3"/>
      <c r="D208" s="3"/>
      <c r="E208" s="3"/>
      <c r="F208" s="3"/>
      <c r="G208" s="3"/>
      <c r="H208" s="3"/>
      <c r="I208" s="3"/>
      <c r="J208" s="3"/>
      <c r="K208" s="3"/>
      <c r="L208" s="3"/>
      <c r="M208" s="3"/>
    </row>
    <row r="209" ht="15.75" customHeight="1">
      <c r="A209" s="3"/>
      <c r="B209" s="3"/>
      <c r="C209" s="3"/>
      <c r="D209" s="3"/>
      <c r="E209" s="3"/>
      <c r="F209" s="3"/>
      <c r="G209" s="3"/>
      <c r="H209" s="3"/>
      <c r="I209" s="3"/>
      <c r="J209" s="3"/>
      <c r="K209" s="3"/>
      <c r="L209" s="3"/>
      <c r="M209" s="3"/>
    </row>
    <row r="210" ht="15.75" customHeight="1">
      <c r="A210" s="3"/>
      <c r="B210" s="3"/>
      <c r="C210" s="3"/>
      <c r="D210" s="3"/>
      <c r="E210" s="3"/>
      <c r="F210" s="3"/>
      <c r="G210" s="3"/>
      <c r="H210" s="3"/>
      <c r="I210" s="3"/>
      <c r="J210" s="3"/>
      <c r="K210" s="3"/>
      <c r="L210" s="3"/>
      <c r="M210" s="3"/>
    </row>
    <row r="211" ht="15.75" customHeight="1">
      <c r="A211" s="3"/>
      <c r="B211" s="3"/>
      <c r="C211" s="3"/>
      <c r="D211" s="3"/>
      <c r="E211" s="3"/>
      <c r="F211" s="3"/>
      <c r="G211" s="3"/>
      <c r="H211" s="3"/>
      <c r="I211" s="3"/>
      <c r="J211" s="3"/>
      <c r="K211" s="3"/>
      <c r="L211" s="3"/>
      <c r="M211" s="3"/>
    </row>
    <row r="212" ht="15.75" customHeight="1">
      <c r="A212" s="3"/>
      <c r="B212" s="3"/>
      <c r="C212" s="3"/>
      <c r="D212" s="3"/>
      <c r="E212" s="3"/>
      <c r="F212" s="3"/>
      <c r="G212" s="3"/>
      <c r="H212" s="3"/>
      <c r="I212" s="3"/>
      <c r="J212" s="3"/>
      <c r="K212" s="3"/>
      <c r="L212" s="3"/>
      <c r="M212" s="3"/>
    </row>
    <row r="213" ht="15.75" customHeight="1">
      <c r="A213" s="3"/>
      <c r="B213" s="3"/>
      <c r="C213" s="3"/>
      <c r="D213" s="3"/>
      <c r="E213" s="3"/>
      <c r="F213" s="3"/>
      <c r="G213" s="3"/>
      <c r="H213" s="3"/>
      <c r="I213" s="3"/>
      <c r="J213" s="3"/>
      <c r="K213" s="3"/>
      <c r="L213" s="3"/>
      <c r="M213" s="3"/>
    </row>
    <row r="214" ht="15.75" customHeight="1">
      <c r="A214" s="3"/>
      <c r="B214" s="3"/>
      <c r="C214" s="3"/>
      <c r="D214" s="3"/>
      <c r="E214" s="3"/>
      <c r="F214" s="3"/>
      <c r="G214" s="3"/>
      <c r="H214" s="3"/>
      <c r="I214" s="3"/>
      <c r="J214" s="3"/>
      <c r="K214" s="3"/>
      <c r="L214" s="3"/>
      <c r="M214" s="3"/>
    </row>
    <row r="215" ht="15.75" customHeight="1">
      <c r="A215" s="3"/>
      <c r="B215" s="3"/>
      <c r="C215" s="3"/>
      <c r="D215" s="3"/>
      <c r="E215" s="3"/>
      <c r="F215" s="3"/>
      <c r="G215" s="3"/>
      <c r="H215" s="3"/>
      <c r="I215" s="3"/>
      <c r="J215" s="3"/>
      <c r="K215" s="3"/>
      <c r="L215" s="3"/>
      <c r="M215" s="3"/>
    </row>
    <row r="216" ht="15.75" customHeight="1">
      <c r="A216" s="3"/>
      <c r="B216" s="3"/>
      <c r="C216" s="3"/>
      <c r="D216" s="3"/>
      <c r="E216" s="3"/>
      <c r="F216" s="3"/>
      <c r="G216" s="3"/>
      <c r="H216" s="3"/>
      <c r="I216" s="3"/>
      <c r="J216" s="3"/>
      <c r="K216" s="3"/>
      <c r="L216" s="3"/>
      <c r="M216" s="3"/>
    </row>
    <row r="217" ht="15.75" customHeight="1">
      <c r="A217" s="3"/>
      <c r="B217" s="3"/>
      <c r="C217" s="3"/>
      <c r="D217" s="3"/>
      <c r="E217" s="3"/>
      <c r="F217" s="3"/>
      <c r="G217" s="3"/>
      <c r="H217" s="3"/>
      <c r="I217" s="3"/>
      <c r="J217" s="3"/>
      <c r="K217" s="3"/>
      <c r="L217" s="3"/>
      <c r="M217" s="3"/>
    </row>
    <row r="218" ht="15.75" customHeight="1">
      <c r="A218" s="3"/>
      <c r="B218" s="3"/>
      <c r="C218" s="3"/>
      <c r="D218" s="3"/>
      <c r="E218" s="3"/>
      <c r="F218" s="3"/>
      <c r="G218" s="3"/>
      <c r="H218" s="3"/>
      <c r="I218" s="3"/>
      <c r="J218" s="3"/>
      <c r="K218" s="3"/>
      <c r="L218" s="3"/>
      <c r="M218" s="3"/>
    </row>
    <row r="219" ht="15.75" customHeight="1">
      <c r="A219" s="3"/>
      <c r="B219" s="3"/>
      <c r="C219" s="3"/>
      <c r="D219" s="3"/>
      <c r="E219" s="3"/>
      <c r="F219" s="3"/>
      <c r="G219" s="3"/>
      <c r="H219" s="3"/>
      <c r="I219" s="3"/>
      <c r="J219" s="3"/>
      <c r="K219" s="3"/>
      <c r="L219" s="3"/>
      <c r="M219" s="3"/>
    </row>
    <row r="220" ht="15.75" customHeight="1">
      <c r="A220" s="3"/>
      <c r="B220" s="3"/>
      <c r="C220" s="3"/>
      <c r="D220" s="3"/>
      <c r="E220" s="3"/>
      <c r="F220" s="3"/>
      <c r="G220" s="3"/>
      <c r="H220" s="3"/>
      <c r="I220" s="3"/>
      <c r="J220" s="3"/>
      <c r="K220" s="3"/>
      <c r="L220" s="3"/>
      <c r="M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dataValidations>
    <dataValidation type="list" allowBlank="1" sqref="M2:M17">
      <formula1>"Not Executed,Passed,Failed,Blocked"</formula1>
    </dataValidation>
    <dataValidation type="list" allowBlank="1" sqref="L2:L17">
      <formula1>"Automation,Manual"</formula1>
    </dataValidation>
  </dataValidations>
  <printOptions/>
  <pageMargins bottom="1.0" footer="0.0" header="0.0" left="0.75" right="0.75" top="1.0"/>
  <pageSetup paperSize="9" orientation="portrait"/>
  <drawing r:id="rId1"/>
</worksheet>
</file>